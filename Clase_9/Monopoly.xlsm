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filterPrivacy="1" codeName="ThisWorkbook" defaultThemeVersion="124226"/>
  <xr:revisionPtr revIDLastSave="0" documentId="13_ncr:1_{971180DD-7A35-496F-A4D1-6064601E4BB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ard" sheetId="1" r:id="rId1"/>
    <sheet name="Piec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2" i="2" l="1"/>
  <c r="A61" i="2"/>
</calcChain>
</file>

<file path=xl/sharedStrings.xml><?xml version="1.0" encoding="utf-8"?>
<sst xmlns="http://schemas.openxmlformats.org/spreadsheetml/2006/main" count="368" uniqueCount="168">
  <si>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</si>
  <si>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</si>
  <si>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</si>
  <si>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</si>
  <si>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</si>
  <si>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</si>
  <si>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</si>
  <si>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</si>
  <si>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</si>
  <si>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NEW YORK AVENUE</t>
  </si>
  <si>
    <t>TENNESSEE AVENUE</t>
  </si>
  <si>
    <t>ST. JAMES PLACE</t>
  </si>
  <si>
    <t>PENNSYLVANIA RAILROAD</t>
  </si>
  <si>
    <t>VIRGINIA AVENUE</t>
  </si>
  <si>
    <t>STATES AVENUE</t>
  </si>
  <si>
    <t>ST. CHARLES PLACE</t>
  </si>
  <si>
    <t>ELECTRIC COMPANY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</si>
  <si>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</si>
  <si>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</si>
  <si>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</si>
  <si>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</si>
  <si>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</si>
  <si>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</si>
  <si>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</si>
  <si>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</si>
  <si>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</si>
  <si>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</si>
  <si>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</si>
  <si>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</si>
  <si>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</si>
  <si>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</si>
  <si>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</si>
  <si>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</si>
  <si>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</si>
  <si>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MONOPOLY</t>
  </si>
  <si>
    <t>Iron</t>
  </si>
  <si>
    <t>JUST</t>
  </si>
  <si>
    <t>VISITING</t>
  </si>
  <si>
    <t>IN                                 JAIL</t>
  </si>
  <si>
    <t>?</t>
  </si>
  <si>
    <t>Collect $200
as you pass
GO</t>
  </si>
  <si>
    <t>Dog</t>
  </si>
  <si>
    <t>Hat</t>
  </si>
  <si>
    <t>Car</t>
  </si>
  <si>
    <t>icon</t>
  </si>
  <si>
    <t>position</t>
  </si>
  <si>
    <t>player number</t>
  </si>
  <si>
    <t>roll number</t>
  </si>
  <si>
    <t>houses</t>
  </si>
  <si>
    <t>hotels</t>
  </si>
  <si>
    <t>Go</t>
  </si>
  <si>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</si>
  <si>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</si>
  <si>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</si>
  <si>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</si>
  <si>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</si>
  <si>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</si>
  <si>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</si>
  <si>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</si>
  <si>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</si>
  <si>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Just Visiting</t>
  </si>
  <si>
    <t>St. Charles Place</t>
  </si>
  <si>
    <t>Electric Company</t>
  </si>
  <si>
    <t>States Avenue</t>
  </si>
  <si>
    <t>Virginia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</si>
  <si>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</si>
  <si>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</si>
  <si>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</si>
  <si>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</si>
  <si>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</si>
  <si>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</si>
  <si>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</si>
  <si>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</si>
  <si>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</si>
  <si>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</si>
  <si>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</si>
  <si>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</si>
  <si>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</si>
  <si>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</si>
  <si>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</si>
  <si>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</si>
  <si>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</si>
  <si>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</si>
  <si>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</si>
  <si>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</si>
  <si>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</si>
  <si>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Jail</t>
  </si>
  <si>
    <t>#</t>
  </si>
  <si>
    <t>Name</t>
  </si>
  <si>
    <t>Cost</t>
  </si>
  <si>
    <t>House Cost</t>
  </si>
  <si>
    <t>Hotel Cost</t>
  </si>
  <si>
    <t>Rent</t>
  </si>
  <si>
    <t>Owner</t>
  </si>
  <si>
    <t>Construction</t>
  </si>
  <si>
    <t>Color</t>
  </si>
  <si>
    <t>N/A</t>
  </si>
  <si>
    <t>e</t>
  </si>
  <si>
    <t>J</t>
  </si>
  <si>
    <t>t</t>
  </si>
  <si>
    <t>S</t>
  </si>
  <si>
    <t>~</t>
  </si>
  <si>
    <t>Number</t>
  </si>
  <si>
    <t>Message</t>
  </si>
  <si>
    <t>Advance to Go</t>
  </si>
  <si>
    <t>Bank Error In Your Favor (Collect $200)</t>
  </si>
  <si>
    <t>Collect $50 from Every Player for opening night seats</t>
  </si>
  <si>
    <t>YourMoney</t>
  </si>
  <si>
    <t>TheirMoney</t>
  </si>
  <si>
    <t>Position</t>
  </si>
  <si>
    <t>Doctor's Fee Pay $50</t>
  </si>
  <si>
    <t>From Sale of Stock You Get $45</t>
  </si>
  <si>
    <t>Get Out of Jail Free</t>
  </si>
  <si>
    <t>Go to Jail</t>
  </si>
  <si>
    <t>Income Tax Refund Collect $20</t>
  </si>
  <si>
    <t>Life Insurance Matures Collect $100</t>
  </si>
  <si>
    <t>Pay Hospital $100</t>
  </si>
  <si>
    <t>Pay School Tax of $150</t>
  </si>
  <si>
    <t>Receive for Services $25</t>
  </si>
  <si>
    <t>Second Prize Beauty Contest Collect $10</t>
  </si>
  <si>
    <t>PerHouse</t>
  </si>
  <si>
    <t>PerHotel</t>
  </si>
  <si>
    <t>You are assessed for Street Repairs $40/house $115/hotel</t>
  </si>
  <si>
    <t>You Inherit $100</t>
  </si>
  <si>
    <t>Advance to St. Charles Place</t>
  </si>
  <si>
    <t>Advance to Illinois Avenue</t>
  </si>
  <si>
    <t>Advance to Nearest Utility</t>
  </si>
  <si>
    <t>Advance to nearest Railroad</t>
  </si>
  <si>
    <t>Advance Token to Boardwalk</t>
  </si>
  <si>
    <t>Utility</t>
  </si>
  <si>
    <t>Railroad</t>
  </si>
  <si>
    <t>Bank Pays you Dividend of $50</t>
  </si>
  <si>
    <t>Elected Chairman of Board Pay $50</t>
  </si>
  <si>
    <t>Go Back 3 Spaces</t>
  </si>
  <si>
    <t>Go Directly to Jail</t>
  </si>
  <si>
    <t>Make General Repairs on Your Property $25/house $100/hotel</t>
  </si>
  <si>
    <t>Pay Poor Tax of $15</t>
  </si>
  <si>
    <t>Take a Ride on the Reading Railroad</t>
  </si>
  <si>
    <t>Your Building and Loan Matures Collect $150</t>
  </si>
  <si>
    <t>Amount</t>
  </si>
  <si>
    <t>Chance cards remaining</t>
  </si>
  <si>
    <t>Community Chest cards remaining</t>
  </si>
  <si>
    <t>Pay 10%
or $200</t>
  </si>
  <si>
    <t>Violet</t>
  </si>
  <si>
    <t>Cyan</t>
  </si>
  <si>
    <t>Purple</t>
  </si>
  <si>
    <t>Orange</t>
  </si>
  <si>
    <t>Red</t>
  </si>
  <si>
    <t>Yellow</t>
  </si>
  <si>
    <t>Green</t>
  </si>
  <si>
    <t>Blue</t>
  </si>
  <si>
    <t>Railroads</t>
  </si>
  <si>
    <t>Utilities</t>
  </si>
  <si>
    <t>Morgaged?</t>
  </si>
  <si>
    <t>Computer</t>
  </si>
  <si>
    <t>Person</t>
  </si>
  <si>
    <t>Player Options</t>
  </si>
  <si>
    <t>Icon</t>
  </si>
  <si>
    <t>Money</t>
  </si>
  <si>
    <t>Player Type</t>
  </si>
  <si>
    <t>Luna</t>
  </si>
  <si>
    <t>Inge</t>
  </si>
  <si>
    <t>Karen</t>
  </si>
  <si>
    <t>Belen</t>
  </si>
  <si>
    <t>Connecticut</t>
  </si>
  <si>
    <t>Oriental</t>
  </si>
  <si>
    <t>St. Charles</t>
  </si>
  <si>
    <t>Rent Owed: 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</si>
</sst>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Webdings"/>
      <family val="1"/>
      <charset val="2"/>
    </font>
    <font>
      <sz val="48"/>
      <color theme="1"/>
      <name val="MS Outlook"/>
      <charset val="2"/>
    </font>
    <font>
      <sz val="48"/>
      <color theme="1"/>
      <name val="Wingdings"/>
      <charset val="2"/>
    </font>
    <font>
      <sz val="24"/>
      <color theme="1"/>
      <name val="Calibri"/>
      <family val="2"/>
    </font>
    <font>
      <sz val="72"/>
      <color theme="1"/>
      <name val="Webdings"/>
      <family val="1"/>
      <charset val="2"/>
    </font>
    <font>
      <sz val="36"/>
      <color theme="1"/>
      <name val="Webdings"/>
      <family val="1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B6DDE8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7">
    <xf numFmtId="0" fontId="0" fillId="0" borderId="0" xfId="0"/>
    <xf numFmtId="0" fontId="0" fillId="0" borderId="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11" borderId="0" xfId="0" applyFill="1"/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12" xfId="0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8" borderId="1" xfId="0" applyFill="1" applyBorder="1" applyAlignment="1">
      <alignment horizontal="center" textRotation="180" wrapText="1"/>
    </xf>
    <xf numFmtId="0" fontId="0" fillId="4" borderId="1" xfId="0" applyFill="1" applyBorder="1" applyAlignment="1">
      <alignment horizontal="center" textRotation="90" wrapText="1"/>
    </xf>
    <xf numFmtId="0" fontId="0" fillId="9" borderId="1" xfId="0" applyFill="1" applyBorder="1" applyAlignment="1">
      <alignment horizontal="center" textRotation="180" wrapText="1"/>
    </xf>
    <xf numFmtId="0" fontId="0" fillId="9" borderId="15" xfId="0" applyFill="1" applyBorder="1" applyAlignment="1">
      <alignment horizontal="center" textRotation="180" wrapText="1"/>
    </xf>
    <xf numFmtId="0" fontId="0" fillId="5" borderId="1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top" wrapText="1"/>
    </xf>
    <xf numFmtId="0" fontId="6" fillId="12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top" wrapText="1"/>
    </xf>
    <xf numFmtId="0" fontId="0" fillId="10" borderId="10" xfId="0" applyFill="1" applyBorder="1" applyAlignment="1">
      <alignment horizontal="center" vertical="center" textRotation="180" wrapText="1"/>
    </xf>
    <xf numFmtId="0" fontId="2" fillId="10" borderId="11" xfId="0" applyFont="1" applyFill="1" applyBorder="1" applyAlignment="1">
      <alignment horizontal="center" vertical="center" textRotation="180" wrapText="1"/>
    </xf>
    <xf numFmtId="0" fontId="0" fillId="10" borderId="2" xfId="0" applyFill="1" applyBorder="1" applyAlignment="1">
      <alignment horizontal="center" vertical="center" textRotation="180" wrapText="1"/>
    </xf>
    <xf numFmtId="0" fontId="2" fillId="10" borderId="3" xfId="0" applyFont="1" applyFill="1" applyBorder="1" applyAlignment="1">
      <alignment horizontal="center" vertical="center" textRotation="180" wrapText="1"/>
    </xf>
    <xf numFmtId="0" fontId="0" fillId="10" borderId="7" xfId="0" applyFill="1" applyBorder="1" applyAlignment="1">
      <alignment horizontal="center" vertical="center" textRotation="180" wrapText="1"/>
    </xf>
    <xf numFmtId="0" fontId="2" fillId="10" borderId="8" xfId="0" applyFont="1" applyFill="1" applyBorder="1" applyAlignment="1">
      <alignment horizontal="center" vertical="center" textRotation="180" wrapText="1"/>
    </xf>
    <xf numFmtId="0" fontId="2" fillId="10" borderId="0" xfId="0" applyFont="1" applyFill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0" fillId="10" borderId="4" xfId="0" applyFill="1" applyBorder="1" applyAlignment="1">
      <alignment horizontal="center" vertical="center" textRotation="90" wrapText="1"/>
    </xf>
    <xf numFmtId="0" fontId="0" fillId="10" borderId="12" xfId="0" applyFill="1" applyBorder="1" applyAlignment="1">
      <alignment horizontal="center" vertical="center" textRotation="90" wrapText="1"/>
    </xf>
    <xf numFmtId="0" fontId="2" fillId="10" borderId="8" xfId="0" applyFont="1" applyFill="1" applyBorder="1" applyAlignment="1">
      <alignment horizontal="center" vertical="center" textRotation="90" wrapText="1"/>
    </xf>
    <xf numFmtId="0" fontId="0" fillId="10" borderId="9" xfId="0" applyFill="1" applyBorder="1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3" borderId="0" xfId="0" applyFill="1"/>
    <xf numFmtId="0" fontId="0" fillId="9" borderId="0" xfId="0" applyFill="1"/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5" borderId="0" xfId="0" applyFill="1"/>
    <xf numFmtId="0" fontId="0" fillId="0" borderId="13" xfId="0" applyBorder="1" applyAlignment="1">
      <alignment horizontal="center" vertical="center" wrapText="1"/>
    </xf>
    <xf numFmtId="0" fontId="10" fillId="10" borderId="14" xfId="0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textRotation="180" wrapText="1"/>
    </xf>
    <xf numFmtId="0" fontId="0" fillId="10" borderId="5" xfId="0" applyFill="1" applyBorder="1" applyAlignment="1">
      <alignment horizontal="center" vertical="center" textRotation="180" wrapText="1"/>
    </xf>
    <xf numFmtId="0" fontId="2" fillId="10" borderId="0" xfId="0" applyFont="1" applyFill="1" applyAlignment="1">
      <alignment horizontal="center" vertical="center" textRotation="180" wrapText="1"/>
    </xf>
    <xf numFmtId="0" fontId="10" fillId="10" borderId="11" xfId="0" applyFont="1" applyFill="1" applyBorder="1" applyAlignment="1">
      <alignment horizontal="center" vertical="center" textRotation="180" wrapText="1"/>
    </xf>
    <xf numFmtId="0" fontId="10" fillId="10" borderId="3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 wrapText="1"/>
    </xf>
    <xf numFmtId="0" fontId="10" fillId="10" borderId="14" xfId="0" applyFont="1" applyFill="1" applyBorder="1" applyAlignment="1">
      <alignment horizontal="center" wrapText="1"/>
    </xf>
    <xf numFmtId="0" fontId="0" fillId="6" borderId="10" xfId="0" applyFill="1" applyBorder="1" applyAlignment="1">
      <alignment horizontal="center" wrapText="1"/>
    </xf>
    <xf numFmtId="0" fontId="0" fillId="4" borderId="13" xfId="0" applyFill="1" applyBorder="1" applyAlignment="1">
      <alignment horizontal="center" textRotation="90" wrapText="1"/>
    </xf>
    <xf numFmtId="0" fontId="0" fillId="8" borderId="14" xfId="0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90" wrapText="1"/>
    </xf>
    <xf numFmtId="0" fontId="12" fillId="10" borderId="6" xfId="0" applyFont="1" applyFill="1" applyBorder="1" applyAlignment="1">
      <alignment horizontal="center" wrapText="1"/>
    </xf>
    <xf numFmtId="0" fontId="0" fillId="0" borderId="8" xfId="0" applyBorder="1"/>
    <xf numFmtId="0" fontId="14" fillId="0" borderId="0" xfId="0" applyFont="1"/>
    <xf numFmtId="0" fontId="4" fillId="0" borderId="0" xfId="0" applyFont="1"/>
    <xf numFmtId="0" fontId="6" fillId="12" borderId="0" xfId="0" applyFont="1" applyFill="1"/>
    <xf numFmtId="0" fontId="15" fillId="10" borderId="6" xfId="0" applyFont="1" applyFill="1" applyBorder="1" applyAlignment="1">
      <alignment horizontal="center" wrapText="1"/>
    </xf>
    <xf numFmtId="0" fontId="15" fillId="10" borderId="0" xfId="0" applyFont="1" applyFill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5" fillId="10" borderId="8" xfId="0" applyFont="1" applyFill="1" applyBorder="1" applyAlignment="1">
      <alignment horizontal="center" vertical="center" textRotation="90" wrapText="1"/>
    </xf>
    <xf numFmtId="0" fontId="15" fillId="10" borderId="3" xfId="0" applyFont="1" applyFill="1" applyBorder="1" applyAlignment="1">
      <alignment horizontal="center" vertical="center" textRotation="90" wrapText="1"/>
    </xf>
    <xf numFmtId="0" fontId="15" fillId="10" borderId="11" xfId="0" applyFont="1" applyFill="1" applyBorder="1" applyAlignment="1">
      <alignment horizontal="center" vertical="center" textRotation="180" wrapText="1"/>
    </xf>
    <xf numFmtId="0" fontId="15" fillId="10" borderId="3" xfId="0" applyFont="1" applyFill="1" applyBorder="1" applyAlignment="1">
      <alignment horizontal="center" vertical="center" textRotation="180" wrapText="1"/>
    </xf>
    <xf numFmtId="0" fontId="15" fillId="10" borderId="0" xfId="0" applyFont="1" applyFill="1" applyAlignment="1">
      <alignment horizontal="center" vertical="center" textRotation="180" wrapText="1"/>
    </xf>
    <xf numFmtId="0" fontId="15" fillId="10" borderId="8" xfId="0" applyFont="1" applyFill="1" applyBorder="1" applyAlignment="1">
      <alignment horizontal="center" vertical="center" textRotation="180" wrapText="1"/>
    </xf>
    <xf numFmtId="0" fontId="6" fillId="0" borderId="0" xfId="0" applyFont="1"/>
    <xf numFmtId="0" fontId="17" fillId="0" borderId="1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0" fillId="10" borderId="0" xfId="0" applyFill="1"/>
    <xf numFmtId="0" fontId="20" fillId="10" borderId="0" xfId="0" applyFont="1" applyFill="1"/>
    <xf numFmtId="0" fontId="16" fillId="10" borderId="0" xfId="0" applyFont="1" applyFill="1"/>
    <xf numFmtId="0" fontId="6" fillId="12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textRotation="180" wrapText="1"/>
    </xf>
    <xf numFmtId="0" fontId="0" fillId="0" borderId="12" xfId="0" applyBorder="1" applyAlignment="1">
      <alignment horizontal="center" vertical="center" textRotation="180" wrapText="1"/>
    </xf>
    <xf numFmtId="165" fontId="4" fillId="0" borderId="3" xfId="1" applyNumberFormat="1" applyFont="1" applyFill="1" applyBorder="1" applyAlignment="1">
      <alignment horizontal="center" vertical="center"/>
    </xf>
    <xf numFmtId="165" fontId="6" fillId="12" borderId="3" xfId="1" applyNumberFormat="1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 textRotation="90" wrapText="1"/>
    </xf>
    <xf numFmtId="0" fontId="0" fillId="10" borderId="11" xfId="0" applyFill="1" applyBorder="1" applyAlignment="1">
      <alignment horizontal="center" vertical="center" textRotation="90" wrapText="1"/>
    </xf>
    <xf numFmtId="0" fontId="6" fillId="12" borderId="2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textRotation="180" wrapText="1"/>
    </xf>
    <xf numFmtId="0" fontId="7" fillId="0" borderId="12" xfId="0" applyFont="1" applyBorder="1" applyAlignment="1">
      <alignment horizontal="center" vertical="center" textRotation="180" wrapText="1"/>
    </xf>
    <xf numFmtId="0" fontId="9" fillId="10" borderId="8" xfId="0" applyFont="1" applyFill="1" applyBorder="1" applyAlignment="1">
      <alignment horizontal="center" vertical="center" textRotation="90" wrapText="1"/>
    </xf>
    <xf numFmtId="0" fontId="11" fillId="10" borderId="11" xfId="0" applyFont="1" applyFill="1" applyBorder="1" applyAlignment="1">
      <alignment horizontal="center" vertical="center" textRotation="90" wrapText="1"/>
    </xf>
    <xf numFmtId="0" fontId="7" fillId="10" borderId="13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textRotation="180" wrapText="1"/>
    </xf>
    <xf numFmtId="0" fontId="7" fillId="10" borderId="12" xfId="0" applyFont="1" applyFill="1" applyBorder="1" applyAlignment="1">
      <alignment horizontal="center" vertical="center" textRotation="180" wrapText="1"/>
    </xf>
    <xf numFmtId="0" fontId="7" fillId="10" borderId="10" xfId="0" applyFont="1" applyFill="1" applyBorder="1" applyAlignment="1">
      <alignment horizontal="center" vertical="center" textRotation="90" wrapText="1"/>
    </xf>
    <xf numFmtId="0" fontId="7" fillId="10" borderId="11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textRotation="180" wrapText="1"/>
    </xf>
    <xf numFmtId="0" fontId="3" fillId="10" borderId="4" xfId="0" applyFont="1" applyFill="1" applyBorder="1" applyAlignment="1">
      <alignment horizontal="center" textRotation="180" wrapText="1"/>
    </xf>
    <xf numFmtId="0" fontId="3" fillId="10" borderId="5" xfId="0" applyFont="1" applyFill="1" applyBorder="1" applyAlignment="1">
      <alignment horizontal="center" textRotation="180" wrapText="1"/>
    </xf>
    <xf numFmtId="0" fontId="3" fillId="10" borderId="6" xfId="0" applyFont="1" applyFill="1" applyBorder="1" applyAlignment="1">
      <alignment horizontal="center" textRotation="180" wrapText="1"/>
    </xf>
    <xf numFmtId="0" fontId="0" fillId="8" borderId="16" xfId="0" applyFill="1" applyBorder="1" applyAlignment="1">
      <alignment horizontal="center" wrapText="1"/>
    </xf>
    <xf numFmtId="0" fontId="0" fillId="8" borderId="17" xfId="0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5" fillId="10" borderId="0" xfId="0" applyFont="1" applyFill="1" applyAlignment="1">
      <alignment horizontal="center" vertic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9" fillId="10" borderId="14" xfId="0" applyFont="1" applyFill="1" applyBorder="1" applyAlignment="1">
      <alignment horizontal="center" wrapText="1"/>
    </xf>
    <xf numFmtId="0" fontId="0" fillId="10" borderId="14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3" fillId="10" borderId="0" xfId="0" applyFont="1" applyFill="1" applyBorder="1" applyAlignment="1">
      <alignment horizontal="center" vertical="top"/>
    </xf>
    <xf numFmtId="0" fontId="13" fillId="10" borderId="18" xfId="0" applyFont="1" applyFill="1" applyBorder="1" applyAlignment="1">
      <alignment horizontal="center" vertical="top"/>
    </xf>
    <xf numFmtId="0" fontId="8" fillId="10" borderId="20" xfId="0" applyFont="1" applyFill="1" applyBorder="1" applyAlignment="1">
      <alignment horizontal="center" wrapText="1"/>
    </xf>
    <xf numFmtId="0" fontId="8" fillId="10" borderId="21" xfId="0" applyFont="1" applyFill="1" applyBorder="1" applyAlignment="1">
      <alignment horizontal="center" wrapText="1"/>
    </xf>
    <xf numFmtId="0" fontId="13" fillId="10" borderId="22" xfId="0" applyFont="1" applyFill="1" applyBorder="1" applyAlignment="1">
      <alignment horizontal="center" vertical="top"/>
    </xf>
    <xf numFmtId="0" fontId="8" fillId="10" borderId="23" xfId="0" applyFont="1" applyFill="1" applyBorder="1" applyAlignment="1">
      <alignment horizontal="center" wrapText="1"/>
    </xf>
    <xf numFmtId="0" fontId="8" fillId="13" borderId="19" xfId="0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/>
    </xf>
    <xf numFmtId="0" fontId="8" fillId="13" borderId="25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colors>
    <mruColors>
      <color rgb="FFD60093"/>
      <color rgb="FFFFFFCC"/>
      <color rgb="FF7F7F7F"/>
      <color rgb="FF4F81BD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</xdr:colOff>
      <xdr:row>13</xdr:row>
      <xdr:rowOff>292102</xdr:rowOff>
    </xdr:from>
    <xdr:to>
      <xdr:col>22</xdr:col>
      <xdr:colOff>211667</xdr:colOff>
      <xdr:row>13</xdr:row>
      <xdr:rowOff>1117602</xdr:rowOff>
    </xdr:to>
    <xdr:sp macro="[0]!RollButton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282334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ROLL</a:t>
          </a:r>
        </a:p>
      </xdr:txBody>
    </xdr:sp>
    <xdr:clientData/>
  </xdr:twoCellAnchor>
  <xdr:twoCellAnchor>
    <xdr:from>
      <xdr:col>4</xdr:col>
      <xdr:colOff>379095</xdr:colOff>
      <xdr:row>16</xdr:row>
      <xdr:rowOff>401320</xdr:rowOff>
    </xdr:from>
    <xdr:to>
      <xdr:col>5</xdr:col>
      <xdr:colOff>461323</xdr:colOff>
      <xdr:row>16</xdr:row>
      <xdr:rowOff>733636</xdr:rowOff>
    </xdr:to>
    <xdr:grpSp>
      <xdr:nvGrpSpPr>
        <xdr:cNvPr id="10" name="Iro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947340" y="14043578"/>
          <a:ext cx="470602" cy="332316"/>
          <a:chOff x="7134225" y="3600450"/>
          <a:chExt cx="876300" cy="628650"/>
        </a:xfrm>
      </xdr:grpSpPr>
      <xdr:sp macro="" textlink="">
        <xdr:nvSpPr>
          <xdr:cNvPr id="11" name="Freefor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" name="Freeform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" name="Freefor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7</xdr:col>
      <xdr:colOff>1135380</xdr:colOff>
      <xdr:row>15</xdr:row>
      <xdr:rowOff>350520</xdr:rowOff>
    </xdr:from>
    <xdr:to>
      <xdr:col>8</xdr:col>
      <xdr:colOff>408939</xdr:colOff>
      <xdr:row>16</xdr:row>
      <xdr:rowOff>346287</xdr:rowOff>
    </xdr:to>
    <xdr:grpSp>
      <xdr:nvGrpSpPr>
        <xdr:cNvPr id="2253" name="Dog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GrpSpPr/>
      </xdr:nvGrpSpPr>
      <xdr:grpSpPr>
        <a:xfrm>
          <a:off x="5579561" y="13609320"/>
          <a:ext cx="517339" cy="379225"/>
          <a:chOff x="10049114" y="445294"/>
          <a:chExt cx="507999" cy="376767"/>
        </a:xfrm>
      </xdr:grpSpPr>
      <xdr:sp macro="" textlink="">
        <xdr:nvSpPr>
          <xdr:cNvPr id="2254" name="Freeform 2253">
            <a:extLst>
              <a:ext uri="{FF2B5EF4-FFF2-40B4-BE49-F238E27FC236}">
                <a16:creationId xmlns:a16="http://schemas.microsoft.com/office/drawing/2014/main" id="{00000000-0008-0000-0000-0000CE080000}"/>
              </a:ext>
            </a:extLst>
          </xdr:cNvPr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55" name="Freeform 2254">
            <a:extLst>
              <a:ext uri="{FF2B5EF4-FFF2-40B4-BE49-F238E27FC236}">
                <a16:creationId xmlns:a16="http://schemas.microsoft.com/office/drawing/2014/main" id="{00000000-0008-0000-0000-0000CF080000}"/>
              </a:ext>
            </a:extLst>
          </xdr:cNvPr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2</xdr:col>
      <xdr:colOff>454660</xdr:colOff>
      <xdr:row>13</xdr:row>
      <xdr:rowOff>756920</xdr:rowOff>
    </xdr:from>
    <xdr:to>
      <xdr:col>3</xdr:col>
      <xdr:colOff>175924</xdr:colOff>
      <xdr:row>13</xdr:row>
      <xdr:rowOff>1090295</xdr:rowOff>
    </xdr:to>
    <xdr:grpSp>
      <xdr:nvGrpSpPr>
        <xdr:cNvPr id="2412" name="Hat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GrpSpPr/>
      </xdr:nvGrpSpPr>
      <xdr:grpSpPr>
        <a:xfrm>
          <a:off x="847950" y="12413062"/>
          <a:ext cx="507845" cy="333375"/>
          <a:chOff x="10298906" y="1351359"/>
          <a:chExt cx="952500" cy="636985"/>
        </a:xfrm>
      </xdr:grpSpPr>
      <xdr:sp macro="" textlink="">
        <xdr:nvSpPr>
          <xdr:cNvPr id="2413" name="Freeform 2412">
            <a:extLst>
              <a:ext uri="{FF2B5EF4-FFF2-40B4-BE49-F238E27FC236}">
                <a16:creationId xmlns:a16="http://schemas.microsoft.com/office/drawing/2014/main" id="{00000000-0008-0000-0000-00006D090000}"/>
              </a:ext>
            </a:extLst>
          </xdr:cNvPr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4" name="Freeform 2413">
            <a:extLst>
              <a:ext uri="{FF2B5EF4-FFF2-40B4-BE49-F238E27FC236}">
                <a16:creationId xmlns:a16="http://schemas.microsoft.com/office/drawing/2014/main" id="{00000000-0008-0000-0000-00006E090000}"/>
              </a:ext>
            </a:extLst>
          </xdr:cNvPr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5" name="Freeform 2414">
            <a:extLst>
              <a:ext uri="{FF2B5EF4-FFF2-40B4-BE49-F238E27FC236}">
                <a16:creationId xmlns:a16="http://schemas.microsoft.com/office/drawing/2014/main" id="{00000000-0008-0000-0000-00006F090000}"/>
              </a:ext>
            </a:extLst>
          </xdr:cNvPr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5</xdr:col>
      <xdr:colOff>645795</xdr:colOff>
      <xdr:row>15</xdr:row>
      <xdr:rowOff>350520</xdr:rowOff>
    </xdr:from>
    <xdr:to>
      <xdr:col>5</xdr:col>
      <xdr:colOff>1216481</xdr:colOff>
      <xdr:row>16</xdr:row>
      <xdr:rowOff>213596</xdr:rowOff>
    </xdr:to>
    <xdr:grpSp>
      <xdr:nvGrpSpPr>
        <xdr:cNvPr id="2478" name="Car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GrpSpPr/>
      </xdr:nvGrpSpPr>
      <xdr:grpSpPr>
        <a:xfrm>
          <a:off x="2602414" y="13609320"/>
          <a:ext cx="570686" cy="246534"/>
          <a:chOff x="8447484" y="1393031"/>
          <a:chExt cx="1387079" cy="601266"/>
        </a:xfrm>
      </xdr:grpSpPr>
      <xdr:sp macro="" textlink="">
        <xdr:nvSpPr>
          <xdr:cNvPr id="2479" name="Freeform 2478">
            <a:extLst>
              <a:ext uri="{FF2B5EF4-FFF2-40B4-BE49-F238E27FC236}">
                <a16:creationId xmlns:a16="http://schemas.microsoft.com/office/drawing/2014/main" id="{00000000-0008-0000-0000-0000AF090000}"/>
              </a:ext>
            </a:extLst>
          </xdr:cNvPr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0" name="Oval 2479">
            <a:extLst>
              <a:ext uri="{FF2B5EF4-FFF2-40B4-BE49-F238E27FC236}">
                <a16:creationId xmlns:a16="http://schemas.microsoft.com/office/drawing/2014/main" id="{00000000-0008-0000-0000-0000B0090000}"/>
              </a:ext>
            </a:extLst>
          </xdr:cNvPr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1" name="Oval 2480">
            <a:extLst>
              <a:ext uri="{FF2B5EF4-FFF2-40B4-BE49-F238E27FC236}">
                <a16:creationId xmlns:a16="http://schemas.microsoft.com/office/drawing/2014/main" id="{00000000-0008-0000-0000-0000B1090000}"/>
              </a:ext>
            </a:extLst>
          </xdr:cNvPr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20</xdr:col>
      <xdr:colOff>25401</xdr:colOff>
      <xdr:row>1</xdr:row>
      <xdr:rowOff>25402</xdr:rowOff>
    </xdr:from>
    <xdr:to>
      <xdr:col>22</xdr:col>
      <xdr:colOff>84668</xdr:colOff>
      <xdr:row>2</xdr:row>
      <xdr:rowOff>660402</xdr:rowOff>
    </xdr:to>
    <xdr:sp macro="[0]!StartGame" textlink="">
      <xdr:nvSpPr>
        <xdr:cNvPr id="2566" name="Rounded Rectangle 2565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>
        <a:xfrm>
          <a:off x="15307734" y="215902"/>
          <a:ext cx="2133601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(RE) START</a:t>
          </a:r>
        </a:p>
      </xdr:txBody>
    </xdr:sp>
    <xdr:clientData/>
  </xdr:twoCellAnchor>
  <xdr:twoCellAnchor>
    <xdr:from>
      <xdr:col>22</xdr:col>
      <xdr:colOff>615245</xdr:colOff>
      <xdr:row>13</xdr:row>
      <xdr:rowOff>292102</xdr:rowOff>
    </xdr:from>
    <xdr:to>
      <xdr:col>24</xdr:col>
      <xdr:colOff>826912</xdr:colOff>
      <xdr:row>13</xdr:row>
      <xdr:rowOff>1117602</xdr:rowOff>
    </xdr:to>
    <xdr:sp macro="[0]!BuildButton" textlink="">
      <xdr:nvSpPr>
        <xdr:cNvPr id="3457" name="Rounded Rectangle 3456">
          <a:extLs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>
        <a:xfrm>
          <a:off x="17971912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BUILD</a:t>
          </a:r>
        </a:p>
      </xdr:txBody>
    </xdr:sp>
    <xdr:clientData/>
  </xdr:twoCellAnchor>
  <xdr:twoCellAnchor>
    <xdr:from>
      <xdr:col>27</xdr:col>
      <xdr:colOff>808569</xdr:colOff>
      <xdr:row>13</xdr:row>
      <xdr:rowOff>292102</xdr:rowOff>
    </xdr:from>
    <xdr:to>
      <xdr:col>29</xdr:col>
      <xdr:colOff>1020236</xdr:colOff>
      <xdr:row>13</xdr:row>
      <xdr:rowOff>1117602</xdr:rowOff>
    </xdr:to>
    <xdr:sp macro="[0]!UnMortgageButton" textlink="">
      <xdr:nvSpPr>
        <xdr:cNvPr id="1437" name="Rounded Rectangle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>
        <a:xfrm>
          <a:off x="23351069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UN-MORTGAGE</a:t>
          </a:r>
        </a:p>
      </xdr:txBody>
    </xdr:sp>
    <xdr:clientData/>
  </xdr:twoCellAnchor>
  <xdr:twoCellAnchor>
    <xdr:from>
      <xdr:col>25</xdr:col>
      <xdr:colOff>193323</xdr:colOff>
      <xdr:row>13</xdr:row>
      <xdr:rowOff>292102</xdr:rowOff>
    </xdr:from>
    <xdr:to>
      <xdr:col>27</xdr:col>
      <xdr:colOff>404990</xdr:colOff>
      <xdr:row>13</xdr:row>
      <xdr:rowOff>1117602</xdr:rowOff>
    </xdr:to>
    <xdr:sp macro="[0]!TradeButton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0661490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TRADE</a:t>
          </a:r>
        </a:p>
      </xdr:txBody>
    </xdr:sp>
    <xdr:clientData/>
  </xdr:twoCellAnchor>
  <xdr:twoCellAnchor>
    <xdr:from>
      <xdr:col>22</xdr:col>
      <xdr:colOff>402166</xdr:colOff>
      <xdr:row>1</xdr:row>
      <xdr:rowOff>0</xdr:rowOff>
    </xdr:from>
    <xdr:to>
      <xdr:col>25</xdr:col>
      <xdr:colOff>338666</xdr:colOff>
      <xdr:row>2</xdr:row>
      <xdr:rowOff>635000</xdr:rowOff>
    </xdr:to>
    <xdr:sp macro="[0]!FreeParkingButton" textlink="">
      <xdr:nvSpPr>
        <xdr:cNvPr id="874" name="Rounded Rectangle 873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SpPr/>
      </xdr:nvSpPr>
      <xdr:spPr>
        <a:xfrm>
          <a:off x="17758833" y="190500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FREE PARKING: ON</a:t>
          </a:r>
        </a:p>
      </xdr:txBody>
    </xdr:sp>
    <xdr:clientData/>
  </xdr:twoCellAnchor>
  <xdr:twoCellAnchor>
    <xdr:from>
      <xdr:col>6</xdr:col>
      <xdr:colOff>558800</xdr:colOff>
      <xdr:row>11</xdr:row>
      <xdr:rowOff>579120</xdr:rowOff>
    </xdr:from>
    <xdr:to>
      <xdr:col>7</xdr:col>
      <xdr:colOff>478155</xdr:colOff>
      <xdr:row>12</xdr:row>
      <xdr:rowOff>532342</xdr:rowOff>
    </xdr:to>
    <xdr:grpSp>
      <xdr:nvGrpSpPr>
        <xdr:cNvPr id="46" name="6Die">
          <a:extLst>
            <a:ext uri="{FF2B5EF4-FFF2-40B4-BE49-F238E27FC236}">
              <a16:creationId xmlns:a16="http://schemas.microsoft.com/office/drawing/2014/main" id="{CC0FA42A-501C-47D2-A227-6412CA36EF5D}"/>
            </a:ext>
          </a:extLst>
        </xdr:cNvPr>
        <xdr:cNvGrpSpPr/>
      </xdr:nvGrpSpPr>
      <xdr:grpSpPr>
        <a:xfrm>
          <a:off x="3759200" y="9796862"/>
          <a:ext cx="1163136" cy="1172422"/>
          <a:chOff x="9191624" y="4467224"/>
          <a:chExt cx="1171575" cy="1171575"/>
        </a:xfrm>
      </xdr:grpSpPr>
      <xdr:sp macro="" textlink="">
        <xdr:nvSpPr>
          <xdr:cNvPr id="47" name="Rectangle 56">
            <a:extLst>
              <a:ext uri="{FF2B5EF4-FFF2-40B4-BE49-F238E27FC236}">
                <a16:creationId xmlns:a16="http://schemas.microsoft.com/office/drawing/2014/main" id="{6DE66EDF-82BB-52B1-ADBF-3E58B8EF2C3D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8" name="Oval 60">
            <a:extLst>
              <a:ext uri="{FF2B5EF4-FFF2-40B4-BE49-F238E27FC236}">
                <a16:creationId xmlns:a16="http://schemas.microsoft.com/office/drawing/2014/main" id="{F65FE024-A64B-EF1B-43D2-2E92D2B156AD}"/>
              </a:ext>
            </a:extLst>
          </xdr:cNvPr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62">
            <a:extLst>
              <a:ext uri="{FF2B5EF4-FFF2-40B4-BE49-F238E27FC236}">
                <a16:creationId xmlns:a16="http://schemas.microsoft.com/office/drawing/2014/main" id="{50C4659B-70A1-6BB4-3865-A1D351C60A6A}"/>
              </a:ext>
            </a:extLst>
          </xdr:cNvPr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0" name="Oval 68">
            <a:extLst>
              <a:ext uri="{FF2B5EF4-FFF2-40B4-BE49-F238E27FC236}">
                <a16:creationId xmlns:a16="http://schemas.microsoft.com/office/drawing/2014/main" id="{33F896A1-E9EA-4606-513F-21C0F843282C}"/>
              </a:ext>
            </a:extLst>
          </xdr:cNvPr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Oval 69">
            <a:extLst>
              <a:ext uri="{FF2B5EF4-FFF2-40B4-BE49-F238E27FC236}">
                <a16:creationId xmlns:a16="http://schemas.microsoft.com/office/drawing/2014/main" id="{F86C257E-8C75-51A9-AEDA-401F1D0A7A05}"/>
              </a:ext>
            </a:extLst>
          </xdr:cNvPr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Oval 70">
            <a:extLst>
              <a:ext uri="{FF2B5EF4-FFF2-40B4-BE49-F238E27FC236}">
                <a16:creationId xmlns:a16="http://schemas.microsoft.com/office/drawing/2014/main" id="{A3D30BB9-F9E0-AC2A-4DD9-6CE17D62B43A}"/>
              </a:ext>
            </a:extLst>
          </xdr:cNvPr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3" name="Oval 71">
            <a:extLst>
              <a:ext uri="{FF2B5EF4-FFF2-40B4-BE49-F238E27FC236}">
                <a16:creationId xmlns:a16="http://schemas.microsoft.com/office/drawing/2014/main" id="{C8FC1542-3E42-FB77-AF20-118A4CA121AB}"/>
              </a:ext>
            </a:extLst>
          </xdr:cNvPr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8</xdr:col>
      <xdr:colOff>906780</xdr:colOff>
      <xdr:row>10</xdr:row>
      <xdr:rowOff>185420</xdr:rowOff>
    </xdr:from>
    <xdr:to>
      <xdr:col>9</xdr:col>
      <xdr:colOff>842222</xdr:colOff>
      <xdr:row>11</xdr:row>
      <xdr:rowOff>137795</xdr:rowOff>
    </xdr:to>
    <xdr:grpSp>
      <xdr:nvGrpSpPr>
        <xdr:cNvPr id="54" name="3Die">
          <a:extLst>
            <a:ext uri="{FF2B5EF4-FFF2-40B4-BE49-F238E27FC236}">
              <a16:creationId xmlns:a16="http://schemas.microsoft.com/office/drawing/2014/main" id="{991FAD7D-3811-4543-A523-DCE6E76DCB4D}"/>
            </a:ext>
          </a:extLst>
        </xdr:cNvPr>
        <xdr:cNvGrpSpPr/>
      </xdr:nvGrpSpPr>
      <xdr:grpSpPr>
        <a:xfrm>
          <a:off x="6594741" y="8183962"/>
          <a:ext cx="1179223" cy="1171575"/>
          <a:chOff x="9191624" y="4467224"/>
          <a:chExt cx="1171575" cy="1171575"/>
        </a:xfrm>
      </xdr:grpSpPr>
      <xdr:sp macro="" textlink="">
        <xdr:nvSpPr>
          <xdr:cNvPr id="55" name="Rectangle 28">
            <a:extLst>
              <a:ext uri="{FF2B5EF4-FFF2-40B4-BE49-F238E27FC236}">
                <a16:creationId xmlns:a16="http://schemas.microsoft.com/office/drawing/2014/main" id="{E6AD9F1C-61DD-EC0B-018A-7DE3A74A008F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29">
            <a:extLst>
              <a:ext uri="{FF2B5EF4-FFF2-40B4-BE49-F238E27FC236}">
                <a16:creationId xmlns:a16="http://schemas.microsoft.com/office/drawing/2014/main" id="{FE17E9DA-C4B0-92BD-7F70-660D08130B0B}"/>
              </a:ext>
            </a:extLst>
          </xdr:cNvPr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7" name="Oval 31">
            <a:extLst>
              <a:ext uri="{FF2B5EF4-FFF2-40B4-BE49-F238E27FC236}">
                <a16:creationId xmlns:a16="http://schemas.microsoft.com/office/drawing/2014/main" id="{9449E76E-C808-03FF-021B-DD9B43BAA2B6}"/>
              </a:ext>
            </a:extLst>
          </xdr:cNvPr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8" name="Oval 32">
            <a:extLst>
              <a:ext uri="{FF2B5EF4-FFF2-40B4-BE49-F238E27FC236}">
                <a16:creationId xmlns:a16="http://schemas.microsoft.com/office/drawing/2014/main" id="{869D1433-B11B-03A5-A260-AEB44F403E5F}"/>
              </a:ext>
            </a:extLst>
          </xdr:cNvPr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18</xdr:row>
      <xdr:rowOff>9524</xdr:rowOff>
    </xdr:from>
    <xdr:to>
      <xdr:col>13</xdr:col>
      <xdr:colOff>1219199</xdr:colOff>
      <xdr:row>18</xdr:row>
      <xdr:rowOff>1181099</xdr:rowOff>
    </xdr:to>
    <xdr:grpSp>
      <xdr:nvGrpSpPr>
        <xdr:cNvPr id="73" name="6Die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9263342" y="5540748"/>
          <a:ext cx="1171575" cy="1171575"/>
          <a:chOff x="9191624" y="4467224"/>
          <a:chExt cx="1171575" cy="1171575"/>
        </a:xfrm>
      </xdr:grpSpPr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3" name="Oval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0" name="Oval 69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1" name="Oval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28574</xdr:colOff>
      <xdr:row>18</xdr:row>
      <xdr:rowOff>9524</xdr:rowOff>
    </xdr:from>
    <xdr:to>
      <xdr:col>12</xdr:col>
      <xdr:colOff>1200149</xdr:colOff>
      <xdr:row>18</xdr:row>
      <xdr:rowOff>1181099</xdr:rowOff>
    </xdr:to>
    <xdr:grpSp>
      <xdr:nvGrpSpPr>
        <xdr:cNvPr id="12" name="5Di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7989233" y="5540748"/>
          <a:ext cx="1171575" cy="1171575"/>
          <a:chOff x="9191624" y="4467224"/>
          <a:chExt cx="1171575" cy="117157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Oval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Oval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Oval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28574</xdr:colOff>
      <xdr:row>18</xdr:row>
      <xdr:rowOff>19049</xdr:rowOff>
    </xdr:from>
    <xdr:to>
      <xdr:col>11</xdr:col>
      <xdr:colOff>1200149</xdr:colOff>
      <xdr:row>18</xdr:row>
      <xdr:rowOff>1190624</xdr:rowOff>
    </xdr:to>
    <xdr:grpSp>
      <xdr:nvGrpSpPr>
        <xdr:cNvPr id="20" name="4Die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6734174" y="5550273"/>
          <a:ext cx="1171575" cy="1171575"/>
          <a:chOff x="9191624" y="4467224"/>
          <a:chExt cx="1171575" cy="1171575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Oval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" name="Oval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Oval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13</xdr:col>
      <xdr:colOff>38099</xdr:colOff>
      <xdr:row>17</xdr:row>
      <xdr:rowOff>19049</xdr:rowOff>
    </xdr:from>
    <xdr:to>
      <xdr:col>13</xdr:col>
      <xdr:colOff>1209674</xdr:colOff>
      <xdr:row>17</xdr:row>
      <xdr:rowOff>1190624</xdr:rowOff>
    </xdr:to>
    <xdr:grpSp>
      <xdr:nvGrpSpPr>
        <xdr:cNvPr id="28" name="3Die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9253817" y="4331073"/>
          <a:ext cx="1171575" cy="1171575"/>
          <a:chOff x="9191624" y="4467224"/>
          <a:chExt cx="1171575" cy="1171575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Oval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Oval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32146</xdr:colOff>
      <xdr:row>17</xdr:row>
      <xdr:rowOff>15478</xdr:rowOff>
    </xdr:from>
    <xdr:to>
      <xdr:col>12</xdr:col>
      <xdr:colOff>1203721</xdr:colOff>
      <xdr:row>17</xdr:row>
      <xdr:rowOff>1187053</xdr:rowOff>
    </xdr:to>
    <xdr:grpSp>
      <xdr:nvGrpSpPr>
        <xdr:cNvPr id="36" name="2Die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7992805" y="4327502"/>
          <a:ext cx="1171575" cy="1171575"/>
          <a:chOff x="9191624" y="4467224"/>
          <a:chExt cx="1171575" cy="117157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Oval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19049</xdr:colOff>
      <xdr:row>17</xdr:row>
      <xdr:rowOff>9524</xdr:rowOff>
    </xdr:from>
    <xdr:to>
      <xdr:col>11</xdr:col>
      <xdr:colOff>1190624</xdr:colOff>
      <xdr:row>17</xdr:row>
      <xdr:rowOff>1181099</xdr:rowOff>
    </xdr:to>
    <xdr:grpSp>
      <xdr:nvGrpSpPr>
        <xdr:cNvPr id="44" name="1Die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6724649" y="4321548"/>
          <a:ext cx="1171575" cy="1171575"/>
          <a:chOff x="9191624" y="4467224"/>
          <a:chExt cx="1171575" cy="1171575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676275</xdr:colOff>
      <xdr:row>2</xdr:row>
      <xdr:rowOff>140759</xdr:rowOff>
    </xdr:from>
    <xdr:to>
      <xdr:col>11</xdr:col>
      <xdr:colOff>1139503</xdr:colOff>
      <xdr:row>4</xdr:row>
      <xdr:rowOff>92075</xdr:rowOff>
    </xdr:to>
    <xdr:grpSp>
      <xdr:nvGrpSpPr>
        <xdr:cNvPr id="40" name="Iron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7381875" y="499347"/>
          <a:ext cx="463228" cy="309904"/>
          <a:chOff x="7134225" y="3600450"/>
          <a:chExt cx="876300" cy="628650"/>
        </a:xfrm>
      </xdr:grpSpPr>
      <xdr:sp macro="" textlink="">
        <xdr:nvSpPr>
          <xdr:cNvPr id="42" name="Freeform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3" name="Freeform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Freeform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152272</xdr:colOff>
      <xdr:row>2</xdr:row>
      <xdr:rowOff>130236</xdr:rowOff>
    </xdr:from>
    <xdr:to>
      <xdr:col>15</xdr:col>
      <xdr:colOff>48015</xdr:colOff>
      <xdr:row>4</xdr:row>
      <xdr:rowOff>126003</xdr:rowOff>
    </xdr:to>
    <xdr:grpSp>
      <xdr:nvGrpSpPr>
        <xdr:cNvPr id="48" name="Dog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/>
      </xdr:nvGrpSpPr>
      <xdr:grpSpPr>
        <a:xfrm>
          <a:off x="10623048" y="488824"/>
          <a:ext cx="505343" cy="354355"/>
          <a:chOff x="10049114" y="445294"/>
          <a:chExt cx="507999" cy="376767"/>
        </a:xfrm>
      </xdr:grpSpPr>
      <xdr:sp macro="" textlink="">
        <xdr:nvSpPr>
          <xdr:cNvPr id="39" name="Freeform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7" name="Freeform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143575</xdr:colOff>
      <xdr:row>7</xdr:row>
      <xdr:rowOff>134470</xdr:rowOff>
    </xdr:from>
    <xdr:to>
      <xdr:col>15</xdr:col>
      <xdr:colOff>34860</xdr:colOff>
      <xdr:row>7</xdr:row>
      <xdr:rowOff>479051</xdr:rowOff>
    </xdr:to>
    <xdr:grpSp>
      <xdr:nvGrpSpPr>
        <xdr:cNvPr id="53" name="Hat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0614351" y="1389529"/>
          <a:ext cx="500885" cy="344581"/>
          <a:chOff x="10298906" y="1351359"/>
          <a:chExt cx="952500" cy="636985"/>
        </a:xfrm>
      </xdr:grpSpPr>
      <xdr:sp macro="" textlink="">
        <xdr:nvSpPr>
          <xdr:cNvPr id="50" name="Freeform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Freeform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Freeform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936421</xdr:colOff>
      <xdr:row>7</xdr:row>
      <xdr:rowOff>211862</xdr:rowOff>
    </xdr:from>
    <xdr:to>
      <xdr:col>13</xdr:col>
      <xdr:colOff>279096</xdr:colOff>
      <xdr:row>7</xdr:row>
      <xdr:rowOff>467144</xdr:rowOff>
    </xdr:to>
    <xdr:grpSp>
      <xdr:nvGrpSpPr>
        <xdr:cNvPr id="58" name="Ca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/>
      </xdr:nvGrpSpPr>
      <xdr:grpSpPr>
        <a:xfrm>
          <a:off x="8897080" y="1466921"/>
          <a:ext cx="597734" cy="255282"/>
          <a:chOff x="8447484" y="1393031"/>
          <a:chExt cx="1387079" cy="601266"/>
        </a:xfrm>
      </xdr:grpSpPr>
      <xdr:sp macro="" textlink="">
        <xdr:nvSpPr>
          <xdr:cNvPr id="54" name="Freeform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5" name="Oval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7"/>
  <sheetViews>
    <sheetView tabSelected="1" topLeftCell="A29" zoomScale="155" zoomScaleNormal="45" workbookViewId="0"/>
  </sheetViews>
  <sheetFormatPr baseColWidth="10" defaultColWidth="8.88671875" defaultRowHeight="14.4" x14ac:dyDescent="0.3"/>
  <cols>
    <col min="1" max="2" width="2.88671875" customWidth="1"/>
    <col min="3" max="3" width="11.44140625" customWidth="1"/>
    <col min="4" max="5" width="5.6640625" customWidth="1"/>
    <col min="6" max="14" width="18.109375" customWidth="1"/>
    <col min="15" max="16" width="5.6640625" customWidth="1"/>
    <col min="17" max="17" width="11.44140625" customWidth="1"/>
    <col min="18" max="19" width="2.88671875" customWidth="1"/>
    <col min="20" max="20" width="9.109375" customWidth="1"/>
    <col min="21" max="30" width="15.44140625" customWidth="1"/>
  </cols>
  <sheetData>
    <row r="1" spans="1:3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</row>
    <row r="2" spans="1:31" ht="15" customHeight="1" x14ac:dyDescent="0.3">
      <c r="A2" s="4"/>
      <c r="B2" s="147" t="s">
        <v>17</v>
      </c>
      <c r="C2" s="148"/>
      <c r="D2" s="148"/>
      <c r="E2" s="149"/>
      <c r="F2" s="5">
        <v>220</v>
      </c>
      <c r="G2" s="5"/>
      <c r="H2" s="5">
        <v>220</v>
      </c>
      <c r="I2" s="5">
        <v>240</v>
      </c>
      <c r="J2" s="6">
        <v>200</v>
      </c>
      <c r="K2" s="3">
        <v>260</v>
      </c>
      <c r="L2" s="3">
        <v>260</v>
      </c>
      <c r="M2" s="3">
        <v>150</v>
      </c>
      <c r="N2" s="1">
        <v>280</v>
      </c>
      <c r="O2" s="119" t="s">
        <v>26</v>
      </c>
      <c r="P2" s="120"/>
      <c r="Q2" s="120"/>
      <c r="R2" s="121"/>
      <c r="S2" s="4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</row>
    <row r="3" spans="1:31" ht="60" customHeight="1" x14ac:dyDescent="0.9">
      <c r="A3" s="4"/>
      <c r="B3" s="113"/>
      <c r="C3" s="114"/>
      <c r="D3" s="114"/>
      <c r="E3" s="115"/>
      <c r="F3" s="70"/>
      <c r="G3" s="145" t="s">
        <v>39</v>
      </c>
      <c r="H3" s="70"/>
      <c r="I3" s="70"/>
      <c r="J3" s="57" t="s">
        <v>99</v>
      </c>
      <c r="K3" s="68"/>
      <c r="L3" s="68"/>
      <c r="M3" s="63" t="s">
        <v>100</v>
      </c>
      <c r="N3" s="69"/>
      <c r="O3" s="122"/>
      <c r="P3" s="123"/>
      <c r="Q3" s="123"/>
      <c r="R3" s="124"/>
      <c r="S3" s="4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</row>
    <row r="4" spans="1:31" ht="30" customHeight="1" x14ac:dyDescent="0.3">
      <c r="A4" s="4"/>
      <c r="B4" s="113"/>
      <c r="C4" s="114"/>
      <c r="D4" s="114"/>
      <c r="E4" s="115"/>
      <c r="F4" s="24" t="s">
        <v>18</v>
      </c>
      <c r="G4" s="145"/>
      <c r="H4" s="24" t="s">
        <v>19</v>
      </c>
      <c r="I4" s="24" t="s">
        <v>20</v>
      </c>
      <c r="J4" s="106" t="s">
        <v>21</v>
      </c>
      <c r="K4" s="25" t="s">
        <v>22</v>
      </c>
      <c r="L4" s="25" t="s">
        <v>23</v>
      </c>
      <c r="M4" s="143" t="s">
        <v>24</v>
      </c>
      <c r="N4" s="33" t="s">
        <v>25</v>
      </c>
      <c r="O4" s="122"/>
      <c r="P4" s="123"/>
      <c r="Q4" s="123"/>
      <c r="R4" s="124"/>
      <c r="S4" s="4"/>
      <c r="T4" s="90"/>
      <c r="U4" s="146" t="s">
        <v>88</v>
      </c>
      <c r="V4" s="146"/>
      <c r="W4" s="78" t="s">
        <v>157</v>
      </c>
      <c r="X4" s="146" t="s">
        <v>158</v>
      </c>
      <c r="Y4" s="146"/>
      <c r="Z4" s="146" t="s">
        <v>159</v>
      </c>
      <c r="AA4" s="146"/>
      <c r="AB4" s="146"/>
      <c r="AC4" s="87" t="s">
        <v>86</v>
      </c>
      <c r="AD4" s="88" t="s">
        <v>109</v>
      </c>
      <c r="AE4" s="90"/>
    </row>
    <row r="5" spans="1:31" ht="30" customHeight="1" x14ac:dyDescent="0.3">
      <c r="A5" s="4"/>
      <c r="B5" s="116">
        <v>500</v>
      </c>
      <c r="C5" s="117"/>
      <c r="D5" s="117"/>
      <c r="E5" s="118"/>
      <c r="F5" s="7"/>
      <c r="G5" s="8" t="s">
        <v>6</v>
      </c>
      <c r="H5" s="7"/>
      <c r="I5" s="58"/>
      <c r="J5" s="150"/>
      <c r="K5" s="11"/>
      <c r="L5" s="11"/>
      <c r="M5" s="144"/>
      <c r="N5" s="10"/>
      <c r="O5" s="125"/>
      <c r="P5" s="126"/>
      <c r="Q5" s="126"/>
      <c r="R5" s="127"/>
      <c r="S5" s="4"/>
      <c r="T5" s="90"/>
      <c r="U5" s="79" t="s">
        <v>143</v>
      </c>
      <c r="V5" s="86" t="s">
        <v>144</v>
      </c>
      <c r="W5" s="80" t="s">
        <v>145</v>
      </c>
      <c r="X5" s="81" t="s">
        <v>146</v>
      </c>
      <c r="Y5" s="82" t="s">
        <v>147</v>
      </c>
      <c r="Z5" s="85" t="s">
        <v>148</v>
      </c>
      <c r="AA5" s="83" t="s">
        <v>149</v>
      </c>
      <c r="AB5" s="84" t="s">
        <v>150</v>
      </c>
      <c r="AC5" s="78" t="s">
        <v>151</v>
      </c>
      <c r="AD5" s="78" t="s">
        <v>152</v>
      </c>
      <c r="AE5" s="90"/>
    </row>
    <row r="6" spans="1:31" ht="96" customHeight="1" thickBot="1" x14ac:dyDescent="0.35">
      <c r="A6" s="4"/>
      <c r="B6" s="27">
        <v>200</v>
      </c>
      <c r="C6" s="73"/>
      <c r="D6" s="28" t="s">
        <v>9</v>
      </c>
      <c r="E6" s="13"/>
      <c r="F6" s="20"/>
      <c r="G6" s="20"/>
      <c r="H6" s="20"/>
      <c r="I6" s="20"/>
      <c r="J6" s="20"/>
      <c r="K6" s="20"/>
      <c r="L6" s="20"/>
      <c r="M6" s="20"/>
      <c r="N6" s="20"/>
      <c r="O6" s="14"/>
      <c r="P6" s="34" t="s">
        <v>27</v>
      </c>
      <c r="Q6" s="72"/>
      <c r="R6" s="35">
        <v>300</v>
      </c>
      <c r="S6" s="4"/>
      <c r="T6" s="90"/>
      <c r="U6" s="100" t="s">
        <v>160</v>
      </c>
      <c r="V6" s="93"/>
      <c r="W6" s="89" t="s">
        <v>35</v>
      </c>
      <c r="X6" s="97">
        <v>1388</v>
      </c>
      <c r="Y6" s="97"/>
      <c r="Z6" s="93" t="s">
        <v>155</v>
      </c>
      <c r="AA6" s="93"/>
      <c r="AB6" s="93"/>
      <c r="AC6" s="89">
        <v>0</v>
      </c>
      <c r="AD6" s="22">
        <v>9</v>
      </c>
      <c r="AE6" s="90"/>
    </row>
    <row r="7" spans="1:31" ht="96" customHeight="1" x14ac:dyDescent="0.6">
      <c r="A7" s="4"/>
      <c r="B7" s="29">
        <v>180</v>
      </c>
      <c r="C7" s="74"/>
      <c r="D7" s="30" t="s">
        <v>10</v>
      </c>
      <c r="E7" s="50"/>
      <c r="F7" s="20"/>
      <c r="G7" s="138" t="s">
        <v>1</v>
      </c>
      <c r="H7" s="138"/>
      <c r="I7" s="20"/>
      <c r="J7" s="20"/>
      <c r="K7" s="164"/>
      <c r="L7" s="165"/>
      <c r="M7" s="166"/>
      <c r="N7" s="20"/>
      <c r="O7" s="14"/>
      <c r="P7" s="34" t="s">
        <v>28</v>
      </c>
      <c r="Q7" s="72"/>
      <c r="R7" s="35">
        <v>300</v>
      </c>
      <c r="S7" s="4"/>
      <c r="T7" s="90"/>
      <c r="U7" s="155"/>
      <c r="V7" s="156" t="s">
        <v>164</v>
      </c>
      <c r="W7" s="156"/>
      <c r="X7" s="156"/>
      <c r="Y7" s="156"/>
      <c r="Z7" s="156"/>
      <c r="AA7" s="156"/>
      <c r="AB7" s="156"/>
      <c r="AC7" s="156"/>
      <c r="AD7" s="157"/>
      <c r="AE7" s="90"/>
    </row>
    <row r="8" spans="1:31" ht="96" customHeight="1" x14ac:dyDescent="0.3">
      <c r="A8" s="4"/>
      <c r="B8" s="27"/>
      <c r="C8" s="53" t="s">
        <v>97</v>
      </c>
      <c r="D8" s="94" t="s">
        <v>1</v>
      </c>
      <c r="E8" s="95"/>
      <c r="F8" s="20"/>
      <c r="G8" s="140"/>
      <c r="H8" s="141"/>
      <c r="I8" s="20"/>
      <c r="J8" s="20"/>
      <c r="K8" s="159" t="s">
        <v>59</v>
      </c>
      <c r="L8" s="158"/>
      <c r="M8" s="162"/>
      <c r="N8" s="20"/>
      <c r="O8" s="98" t="s">
        <v>1</v>
      </c>
      <c r="P8" s="99"/>
      <c r="Q8" s="54" t="s">
        <v>97</v>
      </c>
      <c r="R8" s="35"/>
      <c r="S8" s="4"/>
      <c r="T8" s="90"/>
      <c r="U8" s="151" t="s">
        <v>161</v>
      </c>
      <c r="V8" s="152"/>
      <c r="W8" s="153" t="s">
        <v>41</v>
      </c>
      <c r="X8" s="96">
        <v>1400</v>
      </c>
      <c r="Y8" s="96"/>
      <c r="Z8" s="152" t="s">
        <v>155</v>
      </c>
      <c r="AA8" s="152"/>
      <c r="AB8" s="152"/>
      <c r="AC8" s="153">
        <v>0</v>
      </c>
      <c r="AD8" s="154">
        <v>6</v>
      </c>
      <c r="AE8" s="90"/>
    </row>
    <row r="9" spans="1:31" ht="96" customHeight="1" thickBot="1" x14ac:dyDescent="0.65">
      <c r="A9" s="4"/>
      <c r="B9" s="51">
        <v>180</v>
      </c>
      <c r="C9" s="75"/>
      <c r="D9" s="52" t="s">
        <v>11</v>
      </c>
      <c r="E9" s="60"/>
      <c r="F9" s="20"/>
      <c r="G9" s="20"/>
      <c r="H9" s="20"/>
      <c r="I9" s="20"/>
      <c r="J9" s="20"/>
      <c r="K9" s="160" t="s">
        <v>167</v>
      </c>
      <c r="L9" s="161"/>
      <c r="M9" s="163"/>
      <c r="N9" s="20"/>
      <c r="O9" s="59"/>
      <c r="P9" s="34" t="s">
        <v>29</v>
      </c>
      <c r="Q9" s="72"/>
      <c r="R9" s="35">
        <v>320</v>
      </c>
      <c r="S9" s="4"/>
      <c r="T9" s="90"/>
      <c r="U9" s="155"/>
      <c r="V9" s="156" t="s">
        <v>165</v>
      </c>
      <c r="W9" s="156"/>
      <c r="X9" s="156"/>
      <c r="Y9" s="156"/>
      <c r="Z9" s="156"/>
      <c r="AA9" s="156"/>
      <c r="AB9" s="156"/>
      <c r="AC9" s="156"/>
      <c r="AD9" s="157"/>
      <c r="AE9" s="90"/>
    </row>
    <row r="10" spans="1:31" ht="96" customHeight="1" x14ac:dyDescent="0.3">
      <c r="A10" s="4"/>
      <c r="B10" s="27">
        <v>200</v>
      </c>
      <c r="C10" s="61" t="s">
        <v>99</v>
      </c>
      <c r="D10" s="107" t="s">
        <v>12</v>
      </c>
      <c r="E10" s="108"/>
      <c r="F10" s="20"/>
      <c r="G10" s="139" t="s">
        <v>34</v>
      </c>
      <c r="H10" s="139"/>
      <c r="I10" s="139"/>
      <c r="J10" s="139"/>
      <c r="K10" s="139"/>
      <c r="L10" s="139"/>
      <c r="M10" s="139"/>
      <c r="N10" s="20"/>
      <c r="O10" s="109" t="s">
        <v>30</v>
      </c>
      <c r="P10" s="110"/>
      <c r="Q10" s="62" t="s">
        <v>99</v>
      </c>
      <c r="R10" s="36">
        <v>200</v>
      </c>
      <c r="S10" s="4"/>
      <c r="T10" s="90"/>
      <c r="U10" s="151" t="s">
        <v>162</v>
      </c>
      <c r="V10" s="152"/>
      <c r="W10" s="153" t="s">
        <v>42</v>
      </c>
      <c r="X10" s="96">
        <v>1360</v>
      </c>
      <c r="Y10" s="96"/>
      <c r="Z10" s="152" t="s">
        <v>155</v>
      </c>
      <c r="AA10" s="152"/>
      <c r="AB10" s="152"/>
      <c r="AC10" s="153">
        <v>0</v>
      </c>
      <c r="AD10" s="154">
        <v>11</v>
      </c>
      <c r="AE10" s="90"/>
    </row>
    <row r="11" spans="1:31" ht="96" customHeight="1" x14ac:dyDescent="0.35">
      <c r="A11" s="4"/>
      <c r="B11" s="31">
        <v>160</v>
      </c>
      <c r="C11" s="76"/>
      <c r="D11" s="32" t="s">
        <v>13</v>
      </c>
      <c r="E11" s="16"/>
      <c r="F11" s="20"/>
      <c r="G11" s="20"/>
      <c r="H11" s="20"/>
      <c r="I11" s="20"/>
      <c r="J11" s="20"/>
      <c r="K11" s="20"/>
      <c r="L11" s="138" t="s">
        <v>6</v>
      </c>
      <c r="M11" s="138"/>
      <c r="N11" s="20"/>
      <c r="O11" s="55" t="s">
        <v>6</v>
      </c>
      <c r="P11" s="103" t="s">
        <v>39</v>
      </c>
      <c r="Q11" s="103"/>
      <c r="R11" s="38"/>
      <c r="S11" s="4"/>
      <c r="T11" s="90"/>
      <c r="U11" s="155"/>
      <c r="V11" s="156"/>
      <c r="W11" s="156" t="s">
        <v>166</v>
      </c>
      <c r="X11" s="156"/>
      <c r="Y11" s="156"/>
      <c r="Z11" s="156"/>
      <c r="AA11" s="156"/>
      <c r="AB11" s="156"/>
      <c r="AC11" s="156"/>
      <c r="AD11" s="157"/>
      <c r="AE11" s="90"/>
    </row>
    <row r="12" spans="1:31" ht="96" customHeight="1" x14ac:dyDescent="0.3">
      <c r="A12" s="4"/>
      <c r="B12" s="31">
        <v>140</v>
      </c>
      <c r="C12" s="76"/>
      <c r="D12" s="32" t="s">
        <v>14</v>
      </c>
      <c r="E12" s="16"/>
      <c r="F12" s="20"/>
      <c r="G12" s="20"/>
      <c r="H12" s="20"/>
      <c r="I12" s="20"/>
      <c r="J12" s="20"/>
      <c r="K12" s="20"/>
      <c r="L12" s="136"/>
      <c r="M12" s="137"/>
      <c r="N12" s="20"/>
      <c r="O12" s="17"/>
      <c r="P12" s="37" t="s">
        <v>31</v>
      </c>
      <c r="Q12" s="71"/>
      <c r="R12" s="38">
        <v>350</v>
      </c>
      <c r="S12" s="4"/>
      <c r="T12" s="90"/>
      <c r="U12" s="151" t="s">
        <v>163</v>
      </c>
      <c r="V12" s="152"/>
      <c r="W12" s="153" t="s">
        <v>43</v>
      </c>
      <c r="X12" s="96">
        <v>1492</v>
      </c>
      <c r="Y12" s="96"/>
      <c r="Z12" s="152" t="s">
        <v>155</v>
      </c>
      <c r="AA12" s="152"/>
      <c r="AB12" s="152"/>
      <c r="AC12" s="153">
        <v>0</v>
      </c>
      <c r="AD12" s="154">
        <v>9</v>
      </c>
      <c r="AE12" s="90"/>
    </row>
    <row r="13" spans="1:31" ht="96" customHeight="1" x14ac:dyDescent="0.3">
      <c r="A13" s="4"/>
      <c r="B13" s="27">
        <v>150</v>
      </c>
      <c r="C13" s="53" t="s">
        <v>101</v>
      </c>
      <c r="D13" s="101" t="s">
        <v>16</v>
      </c>
      <c r="E13" s="102"/>
      <c r="F13" s="20"/>
      <c r="G13" s="20"/>
      <c r="H13" s="20"/>
      <c r="I13" s="20"/>
      <c r="J13" s="20"/>
      <c r="K13" s="20"/>
      <c r="L13" s="21"/>
      <c r="M13" s="20"/>
      <c r="N13" s="20"/>
      <c r="O13" s="56" t="s">
        <v>32</v>
      </c>
      <c r="P13" s="104" t="s">
        <v>98</v>
      </c>
      <c r="Q13" s="104"/>
      <c r="R13" s="38"/>
      <c r="S13" s="4"/>
      <c r="T13" s="90"/>
      <c r="U13" s="155"/>
      <c r="V13" s="156"/>
      <c r="W13" s="156"/>
      <c r="X13" s="156"/>
      <c r="Y13" s="156"/>
      <c r="Z13" s="156"/>
      <c r="AA13" s="156"/>
      <c r="AB13" s="156"/>
      <c r="AC13" s="156"/>
      <c r="AD13" s="157"/>
      <c r="AE13" s="90"/>
    </row>
    <row r="14" spans="1:31" ht="96" customHeight="1" x14ac:dyDescent="0.3">
      <c r="A14" s="4"/>
      <c r="B14" s="31">
        <v>140</v>
      </c>
      <c r="C14" s="76"/>
      <c r="D14" s="32" t="s">
        <v>15</v>
      </c>
      <c r="E14" s="15"/>
      <c r="F14" s="20"/>
      <c r="G14" s="20"/>
      <c r="H14" s="20"/>
      <c r="I14" s="20"/>
      <c r="J14" s="20"/>
      <c r="K14" s="20"/>
      <c r="L14" s="20"/>
      <c r="M14" s="20"/>
      <c r="N14" s="20"/>
      <c r="O14" s="17"/>
      <c r="P14" s="37" t="s">
        <v>33</v>
      </c>
      <c r="Q14" s="71"/>
      <c r="R14" s="38">
        <v>400</v>
      </c>
      <c r="S14" s="4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</row>
    <row r="15" spans="1:31" ht="30" customHeight="1" x14ac:dyDescent="0.35">
      <c r="A15" s="4"/>
      <c r="B15" s="132" t="s">
        <v>36</v>
      </c>
      <c r="C15" s="133"/>
      <c r="D15" s="128" t="s">
        <v>38</v>
      </c>
      <c r="E15" s="129"/>
      <c r="F15" s="18"/>
      <c r="G15" s="18"/>
      <c r="H15" s="48" t="s">
        <v>6</v>
      </c>
      <c r="I15" s="18"/>
      <c r="J15" s="105" t="s">
        <v>4</v>
      </c>
      <c r="K15" s="105" t="s">
        <v>3</v>
      </c>
      <c r="L15" s="19"/>
      <c r="M15" s="111" t="s">
        <v>1</v>
      </c>
      <c r="N15" s="19"/>
      <c r="O15" s="119" t="s">
        <v>40</v>
      </c>
      <c r="P15" s="120"/>
      <c r="Q15" s="120"/>
      <c r="R15" s="121"/>
      <c r="S15" s="4"/>
      <c r="T15" s="90"/>
      <c r="U15" s="91">
        <v>1</v>
      </c>
      <c r="V15" s="91" t="s">
        <v>35</v>
      </c>
      <c r="W15" s="91">
        <v>0</v>
      </c>
      <c r="X15" s="91">
        <v>1</v>
      </c>
      <c r="Y15" s="92"/>
      <c r="Z15" s="92"/>
      <c r="AA15" s="90"/>
      <c r="AB15" s="90"/>
      <c r="AC15" s="90"/>
      <c r="AD15" s="90"/>
      <c r="AE15" s="90"/>
    </row>
    <row r="16" spans="1:31" ht="30" customHeight="1" x14ac:dyDescent="0.35">
      <c r="A16" s="4"/>
      <c r="B16" s="134"/>
      <c r="C16" s="135"/>
      <c r="D16" s="130"/>
      <c r="E16" s="131"/>
      <c r="F16" s="24" t="s">
        <v>8</v>
      </c>
      <c r="G16" s="24" t="s">
        <v>7</v>
      </c>
      <c r="H16" s="142" t="s">
        <v>39</v>
      </c>
      <c r="I16" s="24" t="s">
        <v>5</v>
      </c>
      <c r="J16" s="106"/>
      <c r="K16" s="106"/>
      <c r="L16" s="25" t="s">
        <v>2</v>
      </c>
      <c r="M16" s="112"/>
      <c r="N16" s="26" t="s">
        <v>0</v>
      </c>
      <c r="O16" s="122"/>
      <c r="P16" s="123"/>
      <c r="Q16" s="123"/>
      <c r="R16" s="124"/>
      <c r="S16" s="4"/>
      <c r="T16" s="90"/>
      <c r="U16" s="91" t="s">
        <v>46</v>
      </c>
      <c r="V16" s="91" t="s">
        <v>44</v>
      </c>
      <c r="W16" s="91" t="s">
        <v>45</v>
      </c>
      <c r="X16" s="91" t="s">
        <v>47</v>
      </c>
      <c r="Y16" s="92"/>
      <c r="Z16" s="92"/>
      <c r="AA16" s="90"/>
      <c r="AB16" s="90"/>
      <c r="AC16" s="90"/>
      <c r="AD16" s="90"/>
      <c r="AE16" s="90"/>
    </row>
    <row r="17" spans="1:31" ht="60" customHeight="1" x14ac:dyDescent="0.85">
      <c r="A17" s="4"/>
      <c r="B17" s="113" t="s">
        <v>37</v>
      </c>
      <c r="C17" s="114"/>
      <c r="D17" s="114"/>
      <c r="E17" s="115"/>
      <c r="F17" s="70"/>
      <c r="G17" s="70"/>
      <c r="H17" s="142"/>
      <c r="I17" s="70"/>
      <c r="J17" s="57" t="s">
        <v>99</v>
      </c>
      <c r="K17" s="23" t="s">
        <v>142</v>
      </c>
      <c r="L17" s="68"/>
      <c r="M17" s="49" t="s">
        <v>97</v>
      </c>
      <c r="N17" s="69"/>
      <c r="O17" s="122"/>
      <c r="P17" s="123"/>
      <c r="Q17" s="123"/>
      <c r="R17" s="124"/>
      <c r="S17" s="4"/>
      <c r="T17" s="90"/>
      <c r="U17" s="92"/>
      <c r="V17" s="92"/>
      <c r="W17" s="92"/>
      <c r="X17" s="92"/>
      <c r="Y17" s="92"/>
      <c r="Z17" s="92"/>
      <c r="AA17" s="90"/>
      <c r="AB17" s="90"/>
      <c r="AC17" s="90"/>
      <c r="AD17" s="90"/>
      <c r="AE17" s="90"/>
    </row>
    <row r="18" spans="1:31" x14ac:dyDescent="0.3">
      <c r="A18" s="4"/>
      <c r="B18" s="116"/>
      <c r="C18" s="117"/>
      <c r="D18" s="117"/>
      <c r="E18" s="118"/>
      <c r="F18" s="8">
        <v>120</v>
      </c>
      <c r="G18" s="8">
        <v>100</v>
      </c>
      <c r="H18" s="8"/>
      <c r="I18" s="8">
        <v>100</v>
      </c>
      <c r="J18" s="9">
        <v>200</v>
      </c>
      <c r="K18" s="12"/>
      <c r="L18" s="12">
        <v>60</v>
      </c>
      <c r="M18" s="12"/>
      <c r="N18" s="2">
        <v>60</v>
      </c>
      <c r="O18" s="125"/>
      <c r="P18" s="126"/>
      <c r="Q18" s="126"/>
      <c r="R18" s="127"/>
      <c r="S18" s="4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</row>
    <row r="19" spans="1:3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</row>
    <row r="20" spans="1:31" ht="409.5" customHeight="1" x14ac:dyDescent="0.3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</row>
    <row r="21" spans="1:31" ht="409.6" customHeight="1" x14ac:dyDescent="0.3">
      <c r="H21" t="s">
        <v>48</v>
      </c>
      <c r="P21" t="s">
        <v>94</v>
      </c>
    </row>
    <row r="22" spans="1:31" x14ac:dyDescent="0.3">
      <c r="B22" t="s">
        <v>153</v>
      </c>
      <c r="C22" t="s">
        <v>93</v>
      </c>
      <c r="D22" t="s">
        <v>95</v>
      </c>
      <c r="E22" t="s">
        <v>87</v>
      </c>
      <c r="F22" t="s">
        <v>88</v>
      </c>
      <c r="G22" t="s">
        <v>89</v>
      </c>
      <c r="H22" t="s">
        <v>90</v>
      </c>
      <c r="I22" t="s">
        <v>91</v>
      </c>
      <c r="J22" t="s">
        <v>92</v>
      </c>
      <c r="K22">
        <v>1</v>
      </c>
      <c r="L22">
        <v>2</v>
      </c>
      <c r="M22">
        <v>3</v>
      </c>
      <c r="N22">
        <v>4</v>
      </c>
      <c r="O22">
        <v>5</v>
      </c>
      <c r="P22" t="s">
        <v>48</v>
      </c>
      <c r="Q22" t="s">
        <v>49</v>
      </c>
    </row>
    <row r="23" spans="1:31" x14ac:dyDescent="0.3">
      <c r="C23" t="s">
        <v>96</v>
      </c>
      <c r="E23">
        <v>0</v>
      </c>
      <c r="F23" t="s">
        <v>50</v>
      </c>
      <c r="G23" s="39"/>
    </row>
    <row r="24" spans="1:31" x14ac:dyDescent="0.3">
      <c r="D24">
        <v>10498160</v>
      </c>
      <c r="E24">
        <v>1</v>
      </c>
      <c r="F24" s="40" t="s">
        <v>51</v>
      </c>
      <c r="G24" s="39">
        <v>60</v>
      </c>
      <c r="H24">
        <v>50</v>
      </c>
      <c r="I24">
        <v>50</v>
      </c>
      <c r="J24">
        <v>2</v>
      </c>
      <c r="K24">
        <v>10</v>
      </c>
      <c r="L24">
        <v>30</v>
      </c>
      <c r="M24">
        <v>90</v>
      </c>
      <c r="N24">
        <v>160</v>
      </c>
      <c r="O24">
        <v>250</v>
      </c>
    </row>
    <row r="25" spans="1:31" x14ac:dyDescent="0.3">
      <c r="C25" t="s">
        <v>96</v>
      </c>
      <c r="E25">
        <v>2</v>
      </c>
      <c r="F25" t="s">
        <v>52</v>
      </c>
      <c r="G25" s="39"/>
    </row>
    <row r="26" spans="1:31" x14ac:dyDescent="0.3">
      <c r="D26">
        <v>10498160</v>
      </c>
      <c r="E26">
        <v>3</v>
      </c>
      <c r="F26" s="40" t="s">
        <v>53</v>
      </c>
      <c r="G26" s="39">
        <v>60</v>
      </c>
      <c r="H26">
        <v>50</v>
      </c>
      <c r="I26">
        <v>50</v>
      </c>
      <c r="J26">
        <v>4</v>
      </c>
      <c r="K26">
        <v>20</v>
      </c>
      <c r="L26">
        <v>60</v>
      </c>
      <c r="M26">
        <v>180</v>
      </c>
      <c r="N26">
        <v>320</v>
      </c>
      <c r="O26">
        <v>450</v>
      </c>
    </row>
    <row r="27" spans="1:31" x14ac:dyDescent="0.3">
      <c r="C27" t="s">
        <v>96</v>
      </c>
      <c r="E27">
        <v>4</v>
      </c>
      <c r="F27" t="s">
        <v>54</v>
      </c>
      <c r="G27" s="39"/>
    </row>
    <row r="28" spans="1:31" x14ac:dyDescent="0.3">
      <c r="E28">
        <v>5</v>
      </c>
      <c r="F28" t="s">
        <v>55</v>
      </c>
      <c r="G28" s="39">
        <v>200</v>
      </c>
    </row>
    <row r="29" spans="1:31" x14ac:dyDescent="0.3">
      <c r="C29">
        <v>2</v>
      </c>
      <c r="D29">
        <v>15261110</v>
      </c>
      <c r="E29">
        <v>6</v>
      </c>
      <c r="F29" s="41" t="s">
        <v>56</v>
      </c>
      <c r="G29" s="39">
        <v>100</v>
      </c>
      <c r="H29">
        <v>50</v>
      </c>
      <c r="I29">
        <v>50</v>
      </c>
      <c r="J29">
        <v>6</v>
      </c>
      <c r="K29">
        <v>30</v>
      </c>
      <c r="L29">
        <v>90</v>
      </c>
      <c r="M29">
        <v>270</v>
      </c>
      <c r="N29">
        <v>400</v>
      </c>
      <c r="O29">
        <v>550</v>
      </c>
    </row>
    <row r="30" spans="1:31" x14ac:dyDescent="0.3">
      <c r="C30" t="s">
        <v>96</v>
      </c>
      <c r="E30">
        <v>7</v>
      </c>
      <c r="F30" t="s">
        <v>57</v>
      </c>
      <c r="G30" s="39"/>
    </row>
    <row r="31" spans="1:31" x14ac:dyDescent="0.3">
      <c r="D31">
        <v>15261110</v>
      </c>
      <c r="E31">
        <v>8</v>
      </c>
      <c r="F31" s="41" t="s">
        <v>58</v>
      </c>
      <c r="G31" s="39">
        <v>100</v>
      </c>
      <c r="H31">
        <v>50</v>
      </c>
      <c r="I31">
        <v>50</v>
      </c>
      <c r="J31">
        <v>6</v>
      </c>
      <c r="K31">
        <v>30</v>
      </c>
      <c r="L31">
        <v>90</v>
      </c>
      <c r="M31">
        <v>270</v>
      </c>
      <c r="N31">
        <v>400</v>
      </c>
      <c r="O31">
        <v>550</v>
      </c>
    </row>
    <row r="32" spans="1:31" x14ac:dyDescent="0.3">
      <c r="C32">
        <v>1</v>
      </c>
      <c r="D32">
        <v>15261110</v>
      </c>
      <c r="E32">
        <v>9</v>
      </c>
      <c r="F32" s="41" t="s">
        <v>59</v>
      </c>
      <c r="G32" s="39">
        <v>120</v>
      </c>
      <c r="H32">
        <v>50</v>
      </c>
      <c r="I32">
        <v>50</v>
      </c>
      <c r="J32">
        <v>8</v>
      </c>
      <c r="K32">
        <v>40</v>
      </c>
      <c r="L32">
        <v>100</v>
      </c>
      <c r="M32">
        <v>300</v>
      </c>
      <c r="N32">
        <v>450</v>
      </c>
      <c r="O32">
        <v>600</v>
      </c>
    </row>
    <row r="33" spans="3:15" x14ac:dyDescent="0.3">
      <c r="C33" t="s">
        <v>96</v>
      </c>
      <c r="E33">
        <v>10</v>
      </c>
      <c r="F33" t="s">
        <v>60</v>
      </c>
      <c r="G33" s="39"/>
    </row>
    <row r="34" spans="3:15" x14ac:dyDescent="0.3">
      <c r="C34">
        <v>3</v>
      </c>
      <c r="D34">
        <v>9634006</v>
      </c>
      <c r="E34">
        <v>11</v>
      </c>
      <c r="F34" s="42" t="s">
        <v>61</v>
      </c>
      <c r="G34" s="39">
        <v>140</v>
      </c>
      <c r="H34">
        <v>100</v>
      </c>
      <c r="I34">
        <v>100</v>
      </c>
      <c r="J34">
        <v>10</v>
      </c>
      <c r="K34">
        <v>50</v>
      </c>
      <c r="L34">
        <v>150</v>
      </c>
      <c r="M34">
        <v>450</v>
      </c>
      <c r="N34">
        <v>625</v>
      </c>
      <c r="O34">
        <v>750</v>
      </c>
    </row>
    <row r="35" spans="3:15" x14ac:dyDescent="0.3">
      <c r="E35">
        <v>12</v>
      </c>
      <c r="F35" t="s">
        <v>62</v>
      </c>
      <c r="G35" s="39">
        <v>150</v>
      </c>
    </row>
    <row r="36" spans="3:15" x14ac:dyDescent="0.3">
      <c r="D36">
        <v>9634006</v>
      </c>
      <c r="E36">
        <v>13</v>
      </c>
      <c r="F36" s="42" t="s">
        <v>63</v>
      </c>
      <c r="G36" s="39">
        <v>140</v>
      </c>
      <c r="H36">
        <v>100</v>
      </c>
      <c r="I36">
        <v>100</v>
      </c>
      <c r="J36">
        <v>10</v>
      </c>
      <c r="K36">
        <v>50</v>
      </c>
      <c r="L36">
        <v>150</v>
      </c>
      <c r="M36">
        <v>450</v>
      </c>
      <c r="N36">
        <v>625</v>
      </c>
      <c r="O36">
        <v>750</v>
      </c>
    </row>
    <row r="37" spans="3:15" x14ac:dyDescent="0.3">
      <c r="D37">
        <v>9634006</v>
      </c>
      <c r="E37">
        <v>14</v>
      </c>
      <c r="F37" s="42" t="s">
        <v>64</v>
      </c>
      <c r="G37" s="39">
        <v>160</v>
      </c>
      <c r="H37">
        <v>100</v>
      </c>
      <c r="I37">
        <v>100</v>
      </c>
      <c r="J37">
        <v>12</v>
      </c>
      <c r="K37">
        <v>60</v>
      </c>
      <c r="L37">
        <v>180</v>
      </c>
      <c r="M37">
        <v>500</v>
      </c>
      <c r="N37">
        <v>700</v>
      </c>
      <c r="O37">
        <v>900</v>
      </c>
    </row>
    <row r="38" spans="3:15" x14ac:dyDescent="0.3">
      <c r="E38">
        <v>15</v>
      </c>
      <c r="F38" t="s">
        <v>65</v>
      </c>
      <c r="G38" s="39">
        <v>200</v>
      </c>
    </row>
    <row r="39" spans="3:15" x14ac:dyDescent="0.3">
      <c r="D39">
        <v>4626167</v>
      </c>
      <c r="E39">
        <v>16</v>
      </c>
      <c r="F39" s="43" t="s">
        <v>66</v>
      </c>
      <c r="G39" s="39">
        <v>180</v>
      </c>
      <c r="H39">
        <v>100</v>
      </c>
      <c r="I39">
        <v>100</v>
      </c>
      <c r="J39">
        <v>14</v>
      </c>
      <c r="K39">
        <v>70</v>
      </c>
      <c r="L39">
        <v>200</v>
      </c>
      <c r="M39">
        <v>550</v>
      </c>
      <c r="N39">
        <v>750</v>
      </c>
      <c r="O39">
        <v>950</v>
      </c>
    </row>
    <row r="40" spans="3:15" x14ac:dyDescent="0.3">
      <c r="C40" t="s">
        <v>96</v>
      </c>
      <c r="E40">
        <v>17</v>
      </c>
      <c r="F40" t="s">
        <v>52</v>
      </c>
      <c r="G40" s="39"/>
    </row>
    <row r="41" spans="3:15" x14ac:dyDescent="0.3">
      <c r="D41">
        <v>4626167</v>
      </c>
      <c r="E41">
        <v>18</v>
      </c>
      <c r="F41" s="43" t="s">
        <v>67</v>
      </c>
      <c r="G41" s="39">
        <v>180</v>
      </c>
      <c r="H41">
        <v>100</v>
      </c>
      <c r="I41">
        <v>100</v>
      </c>
      <c r="J41">
        <v>14</v>
      </c>
      <c r="K41">
        <v>70</v>
      </c>
      <c r="L41">
        <v>200</v>
      </c>
      <c r="M41">
        <v>550</v>
      </c>
      <c r="N41">
        <v>750</v>
      </c>
      <c r="O41">
        <v>950</v>
      </c>
    </row>
    <row r="42" spans="3:15" x14ac:dyDescent="0.3">
      <c r="D42">
        <v>4626167</v>
      </c>
      <c r="E42">
        <v>19</v>
      </c>
      <c r="F42" s="43" t="s">
        <v>68</v>
      </c>
      <c r="G42" s="39">
        <v>200</v>
      </c>
      <c r="H42">
        <v>100</v>
      </c>
      <c r="I42">
        <v>100</v>
      </c>
      <c r="J42">
        <v>16</v>
      </c>
      <c r="K42">
        <v>80</v>
      </c>
      <c r="L42">
        <v>220</v>
      </c>
      <c r="M42">
        <v>600</v>
      </c>
      <c r="N42">
        <v>800</v>
      </c>
      <c r="O42">
        <v>1000</v>
      </c>
    </row>
    <row r="43" spans="3:15" x14ac:dyDescent="0.3">
      <c r="C43" t="s">
        <v>96</v>
      </c>
      <c r="E43">
        <v>20</v>
      </c>
      <c r="F43" t="s">
        <v>69</v>
      </c>
      <c r="G43" s="39"/>
    </row>
    <row r="44" spans="3:15" x14ac:dyDescent="0.3">
      <c r="D44">
        <v>255</v>
      </c>
      <c r="E44">
        <v>21</v>
      </c>
      <c r="F44" s="44" t="s">
        <v>70</v>
      </c>
      <c r="G44" s="39">
        <v>220</v>
      </c>
      <c r="H44">
        <v>150</v>
      </c>
      <c r="I44">
        <v>150</v>
      </c>
      <c r="J44">
        <v>18</v>
      </c>
      <c r="K44">
        <v>90</v>
      </c>
      <c r="L44">
        <v>250</v>
      </c>
      <c r="M44">
        <v>700</v>
      </c>
      <c r="N44">
        <v>875</v>
      </c>
      <c r="O44">
        <v>1050</v>
      </c>
    </row>
    <row r="45" spans="3:15" x14ac:dyDescent="0.3">
      <c r="C45" t="s">
        <v>96</v>
      </c>
      <c r="E45">
        <v>22</v>
      </c>
      <c r="F45" t="s">
        <v>57</v>
      </c>
      <c r="G45" s="39"/>
    </row>
    <row r="46" spans="3:15" x14ac:dyDescent="0.3">
      <c r="D46">
        <v>255</v>
      </c>
      <c r="E46">
        <v>23</v>
      </c>
      <c r="F46" s="44" t="s">
        <v>71</v>
      </c>
      <c r="G46" s="39">
        <v>220</v>
      </c>
      <c r="H46">
        <v>150</v>
      </c>
      <c r="I46">
        <v>150</v>
      </c>
      <c r="J46">
        <v>18</v>
      </c>
      <c r="K46">
        <v>90</v>
      </c>
      <c r="L46">
        <v>250</v>
      </c>
      <c r="M46">
        <v>700</v>
      </c>
      <c r="N46">
        <v>875</v>
      </c>
      <c r="O46">
        <v>1050</v>
      </c>
    </row>
    <row r="47" spans="3:15" x14ac:dyDescent="0.3">
      <c r="D47">
        <v>255</v>
      </c>
      <c r="E47">
        <v>24</v>
      </c>
      <c r="F47" s="44" t="s">
        <v>72</v>
      </c>
      <c r="G47" s="39">
        <v>240</v>
      </c>
      <c r="H47">
        <v>150</v>
      </c>
      <c r="I47">
        <v>150</v>
      </c>
      <c r="J47">
        <v>20</v>
      </c>
      <c r="K47">
        <v>100</v>
      </c>
      <c r="L47">
        <v>300</v>
      </c>
      <c r="M47">
        <v>750</v>
      </c>
      <c r="N47">
        <v>925</v>
      </c>
      <c r="O47">
        <v>1100</v>
      </c>
    </row>
    <row r="48" spans="3:15" x14ac:dyDescent="0.3">
      <c r="E48">
        <v>25</v>
      </c>
      <c r="F48" t="s">
        <v>73</v>
      </c>
      <c r="G48" s="39">
        <v>200</v>
      </c>
    </row>
    <row r="49" spans="3:15" x14ac:dyDescent="0.3">
      <c r="D49">
        <v>65535</v>
      </c>
      <c r="E49">
        <v>26</v>
      </c>
      <c r="F49" s="45" t="s">
        <v>74</v>
      </c>
      <c r="G49" s="39">
        <v>260</v>
      </c>
      <c r="H49">
        <v>150</v>
      </c>
      <c r="I49">
        <v>150</v>
      </c>
      <c r="J49">
        <v>22</v>
      </c>
      <c r="K49">
        <v>110</v>
      </c>
      <c r="L49">
        <v>330</v>
      </c>
      <c r="M49">
        <v>800</v>
      </c>
      <c r="N49">
        <v>975</v>
      </c>
      <c r="O49">
        <v>1150</v>
      </c>
    </row>
    <row r="50" spans="3:15" x14ac:dyDescent="0.3">
      <c r="D50">
        <v>65535</v>
      </c>
      <c r="E50">
        <v>27</v>
      </c>
      <c r="F50" s="45" t="s">
        <v>75</v>
      </c>
      <c r="G50" s="39">
        <v>260</v>
      </c>
      <c r="H50">
        <v>150</v>
      </c>
      <c r="I50">
        <v>150</v>
      </c>
      <c r="J50">
        <v>22</v>
      </c>
      <c r="K50">
        <v>110</v>
      </c>
      <c r="L50">
        <v>330</v>
      </c>
      <c r="M50">
        <v>800</v>
      </c>
      <c r="N50">
        <v>975</v>
      </c>
      <c r="O50">
        <v>1150</v>
      </c>
    </row>
    <row r="51" spans="3:15" x14ac:dyDescent="0.3">
      <c r="E51">
        <v>28</v>
      </c>
      <c r="F51" t="s">
        <v>76</v>
      </c>
      <c r="G51" s="39">
        <v>150</v>
      </c>
    </row>
    <row r="52" spans="3:15" x14ac:dyDescent="0.3">
      <c r="D52">
        <v>65535</v>
      </c>
      <c r="E52">
        <v>29</v>
      </c>
      <c r="F52" s="45" t="s">
        <v>77</v>
      </c>
      <c r="G52" s="39">
        <v>280</v>
      </c>
      <c r="H52">
        <v>150</v>
      </c>
      <c r="I52">
        <v>150</v>
      </c>
      <c r="J52">
        <v>24</v>
      </c>
      <c r="K52">
        <v>120</v>
      </c>
      <c r="L52">
        <v>360</v>
      </c>
      <c r="M52">
        <v>850</v>
      </c>
      <c r="N52">
        <v>1025</v>
      </c>
      <c r="O52">
        <v>1200</v>
      </c>
    </row>
    <row r="53" spans="3:15" x14ac:dyDescent="0.3">
      <c r="C53" t="s">
        <v>96</v>
      </c>
      <c r="E53">
        <v>30</v>
      </c>
      <c r="F53" t="s">
        <v>78</v>
      </c>
      <c r="G53" s="39"/>
    </row>
    <row r="54" spans="3:15" x14ac:dyDescent="0.3">
      <c r="D54">
        <v>5287936</v>
      </c>
      <c r="E54">
        <v>31</v>
      </c>
      <c r="F54" s="46" t="s">
        <v>79</v>
      </c>
      <c r="G54" s="39">
        <v>300</v>
      </c>
      <c r="H54">
        <v>200</v>
      </c>
      <c r="I54">
        <v>200</v>
      </c>
      <c r="J54">
        <v>26</v>
      </c>
      <c r="K54">
        <v>130</v>
      </c>
      <c r="L54">
        <v>390</v>
      </c>
      <c r="M54">
        <v>900</v>
      </c>
      <c r="N54">
        <v>1100</v>
      </c>
      <c r="O54">
        <v>1275</v>
      </c>
    </row>
    <row r="55" spans="3:15" x14ac:dyDescent="0.3">
      <c r="D55">
        <v>5287936</v>
      </c>
      <c r="E55">
        <v>32</v>
      </c>
      <c r="F55" s="46" t="s">
        <v>80</v>
      </c>
      <c r="G55" s="39">
        <v>300</v>
      </c>
      <c r="H55">
        <v>200</v>
      </c>
      <c r="I55">
        <v>200</v>
      </c>
      <c r="J55">
        <v>26</v>
      </c>
      <c r="K55">
        <v>130</v>
      </c>
      <c r="L55">
        <v>390</v>
      </c>
      <c r="M55">
        <v>900</v>
      </c>
      <c r="N55">
        <v>1100</v>
      </c>
      <c r="O55">
        <v>1275</v>
      </c>
    </row>
    <row r="56" spans="3:15" x14ac:dyDescent="0.3">
      <c r="C56" t="s">
        <v>96</v>
      </c>
      <c r="E56">
        <v>33</v>
      </c>
      <c r="F56" t="s">
        <v>52</v>
      </c>
      <c r="G56" s="39"/>
    </row>
    <row r="57" spans="3:15" x14ac:dyDescent="0.3">
      <c r="D57">
        <v>5287936</v>
      </c>
      <c r="E57">
        <v>34</v>
      </c>
      <c r="F57" s="46" t="s">
        <v>81</v>
      </c>
      <c r="G57" s="39">
        <v>320</v>
      </c>
      <c r="H57">
        <v>200</v>
      </c>
      <c r="I57">
        <v>200</v>
      </c>
      <c r="J57">
        <v>28</v>
      </c>
      <c r="K57">
        <v>150</v>
      </c>
      <c r="L57">
        <v>450</v>
      </c>
      <c r="M57">
        <v>1000</v>
      </c>
      <c r="N57">
        <v>1200</v>
      </c>
      <c r="O57">
        <v>1400</v>
      </c>
    </row>
    <row r="58" spans="3:15" x14ac:dyDescent="0.3">
      <c r="E58">
        <v>35</v>
      </c>
      <c r="F58" t="s">
        <v>82</v>
      </c>
      <c r="G58" s="39">
        <v>200</v>
      </c>
    </row>
    <row r="59" spans="3:15" x14ac:dyDescent="0.3">
      <c r="C59" t="s">
        <v>96</v>
      </c>
      <c r="E59">
        <v>36</v>
      </c>
      <c r="F59" t="s">
        <v>57</v>
      </c>
      <c r="G59" s="39"/>
    </row>
    <row r="60" spans="3:15" x14ac:dyDescent="0.3">
      <c r="D60">
        <v>12611584</v>
      </c>
      <c r="E60">
        <v>37</v>
      </c>
      <c r="F60" s="47" t="s">
        <v>83</v>
      </c>
      <c r="G60" s="39">
        <v>350</v>
      </c>
      <c r="H60">
        <v>200</v>
      </c>
      <c r="I60">
        <v>200</v>
      </c>
      <c r="J60">
        <v>35</v>
      </c>
      <c r="K60">
        <v>175</v>
      </c>
      <c r="L60">
        <v>500</v>
      </c>
      <c r="M60">
        <v>1100</v>
      </c>
      <c r="N60">
        <v>1300</v>
      </c>
      <c r="O60">
        <v>1500</v>
      </c>
    </row>
    <row r="61" spans="3:15" x14ac:dyDescent="0.3">
      <c r="C61" t="s">
        <v>96</v>
      </c>
      <c r="E61">
        <v>38</v>
      </c>
      <c r="F61" t="s">
        <v>84</v>
      </c>
      <c r="G61" s="39"/>
    </row>
    <row r="62" spans="3:15" x14ac:dyDescent="0.3">
      <c r="D62">
        <v>12611584</v>
      </c>
      <c r="E62">
        <v>39</v>
      </c>
      <c r="F62" s="47" t="s">
        <v>85</v>
      </c>
      <c r="G62" s="39">
        <v>400</v>
      </c>
      <c r="H62">
        <v>200</v>
      </c>
      <c r="I62">
        <v>200</v>
      </c>
      <c r="J62">
        <v>50</v>
      </c>
      <c r="K62">
        <v>200</v>
      </c>
      <c r="L62">
        <v>600</v>
      </c>
      <c r="M62">
        <v>1400</v>
      </c>
      <c r="N62">
        <v>1700</v>
      </c>
      <c r="O62">
        <v>2000</v>
      </c>
    </row>
    <row r="63" spans="3:15" x14ac:dyDescent="0.3">
      <c r="C63" t="s">
        <v>96</v>
      </c>
      <c r="E63">
        <v>40</v>
      </c>
      <c r="F63" t="s">
        <v>86</v>
      </c>
      <c r="G63" s="39"/>
    </row>
    <row r="65" spans="6:6" x14ac:dyDescent="0.3">
      <c r="F65" s="64" t="s">
        <v>156</v>
      </c>
    </row>
    <row r="66" spans="6:6" ht="28.8" x14ac:dyDescent="0.55000000000000004">
      <c r="F66" s="77" t="s">
        <v>154</v>
      </c>
    </row>
    <row r="67" spans="6:6" ht="28.8" x14ac:dyDescent="0.55000000000000004">
      <c r="F67" s="77" t="s">
        <v>155</v>
      </c>
    </row>
  </sheetData>
  <dataConsolidate/>
  <mergeCells count="44">
    <mergeCell ref="Z4:AB4"/>
    <mergeCell ref="X4:Y4"/>
    <mergeCell ref="U4:V4"/>
    <mergeCell ref="B2:E4"/>
    <mergeCell ref="B5:E5"/>
    <mergeCell ref="J4:J5"/>
    <mergeCell ref="B17:E18"/>
    <mergeCell ref="O2:R5"/>
    <mergeCell ref="O15:R18"/>
    <mergeCell ref="D15:E16"/>
    <mergeCell ref="B15:C16"/>
    <mergeCell ref="L12:M12"/>
    <mergeCell ref="L11:M11"/>
    <mergeCell ref="G10:M10"/>
    <mergeCell ref="G8:H8"/>
    <mergeCell ref="G7:H7"/>
    <mergeCell ref="K8:M8"/>
    <mergeCell ref="K9:M9"/>
    <mergeCell ref="K7:M7"/>
    <mergeCell ref="H16:H17"/>
    <mergeCell ref="M4:M5"/>
    <mergeCell ref="G3:G4"/>
    <mergeCell ref="D13:E13"/>
    <mergeCell ref="P11:Q11"/>
    <mergeCell ref="P13:Q13"/>
    <mergeCell ref="J15:J16"/>
    <mergeCell ref="D10:E10"/>
    <mergeCell ref="O10:P10"/>
    <mergeCell ref="M15:M16"/>
    <mergeCell ref="K15:K16"/>
    <mergeCell ref="Z6:AB6"/>
    <mergeCell ref="Z8:AB8"/>
    <mergeCell ref="Z10:AB10"/>
    <mergeCell ref="Z12:AB12"/>
    <mergeCell ref="D8:E8"/>
    <mergeCell ref="X12:Y12"/>
    <mergeCell ref="U12:V12"/>
    <mergeCell ref="X6:Y6"/>
    <mergeCell ref="X8:Y8"/>
    <mergeCell ref="X10:Y10"/>
    <mergeCell ref="O8:P8"/>
    <mergeCell ref="U10:V10"/>
    <mergeCell ref="U8:V8"/>
    <mergeCell ref="U6:V6"/>
  </mergeCells>
  <dataValidations count="1">
    <dataValidation type="list" allowBlank="1" showInputMessage="1" showErrorMessage="1" sqref="Z6:AB6 Z8:AB8 Z10:AB10 Z12:AB12" xr:uid="{00000000-0002-0000-0000-000000000000}">
      <formula1>$F$66:$F$67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8:AD62"/>
  <sheetViews>
    <sheetView zoomScale="85" zoomScaleNormal="85" workbookViewId="0">
      <selection activeCell="B57" sqref="B57"/>
    </sheetView>
  </sheetViews>
  <sheetFormatPr baseColWidth="10" defaultColWidth="8.88671875" defaultRowHeight="14.4" x14ac:dyDescent="0.3"/>
  <cols>
    <col min="12" max="14" width="18.33203125" customWidth="1"/>
  </cols>
  <sheetData>
    <row r="8" spans="11:30" ht="87" x14ac:dyDescent="1.25">
      <c r="K8" s="65"/>
      <c r="L8" s="65"/>
      <c r="M8" s="65"/>
    </row>
    <row r="10" spans="11:30" ht="25.8" x14ac:dyDescent="0.5">
      <c r="U10" s="66"/>
      <c r="V10" s="66"/>
      <c r="W10" s="66"/>
      <c r="X10" s="66"/>
      <c r="Y10" s="66"/>
      <c r="Z10" s="66"/>
      <c r="AA10" s="66"/>
      <c r="AB10" s="66"/>
      <c r="AC10" s="66"/>
      <c r="AD10" s="66"/>
    </row>
    <row r="12" spans="11:30" ht="28.8" x14ac:dyDescent="0.55000000000000004">
      <c r="U12" s="67"/>
      <c r="V12" s="67"/>
      <c r="W12" s="67"/>
      <c r="X12" s="67"/>
      <c r="Y12" s="67"/>
      <c r="Z12" s="67"/>
      <c r="AA12" s="67"/>
      <c r="AB12" s="67"/>
      <c r="AC12" s="67"/>
      <c r="AD12" s="67"/>
    </row>
    <row r="18" spans="1:9" ht="96" customHeight="1" x14ac:dyDescent="0.3"/>
    <row r="19" spans="1:9" ht="96" customHeight="1" x14ac:dyDescent="0.3"/>
    <row r="26" spans="1:9" x14ac:dyDescent="0.3">
      <c r="A26" t="s">
        <v>52</v>
      </c>
    </row>
    <row r="27" spans="1:9" x14ac:dyDescent="0.3">
      <c r="A27" s="64" t="s">
        <v>102</v>
      </c>
      <c r="B27" s="64" t="s">
        <v>139</v>
      </c>
      <c r="C27" s="64" t="s">
        <v>103</v>
      </c>
      <c r="D27" s="64" t="s">
        <v>109</v>
      </c>
      <c r="E27" s="64" t="s">
        <v>107</v>
      </c>
      <c r="F27" s="64" t="s">
        <v>108</v>
      </c>
      <c r="G27" s="64" t="s">
        <v>86</v>
      </c>
      <c r="H27" s="64" t="s">
        <v>120</v>
      </c>
      <c r="I27" s="64" t="s">
        <v>121</v>
      </c>
    </row>
    <row r="28" spans="1:9" x14ac:dyDescent="0.3">
      <c r="A28">
        <v>0</v>
      </c>
      <c r="B28">
        <v>1</v>
      </c>
      <c r="C28" t="s">
        <v>104</v>
      </c>
      <c r="D28">
        <v>0</v>
      </c>
      <c r="E28" t="s">
        <v>96</v>
      </c>
      <c r="F28" t="s">
        <v>96</v>
      </c>
      <c r="G28" t="s">
        <v>96</v>
      </c>
      <c r="H28" t="s">
        <v>96</v>
      </c>
      <c r="I28" t="s">
        <v>96</v>
      </c>
    </row>
    <row r="29" spans="1:9" x14ac:dyDescent="0.3">
      <c r="A29">
        <v>1</v>
      </c>
      <c r="B29">
        <v>1</v>
      </c>
      <c r="C29" t="s">
        <v>105</v>
      </c>
      <c r="D29" t="s">
        <v>96</v>
      </c>
      <c r="E29">
        <v>200</v>
      </c>
      <c r="F29" t="s">
        <v>96</v>
      </c>
      <c r="G29" t="s">
        <v>96</v>
      </c>
      <c r="H29" t="s">
        <v>96</v>
      </c>
      <c r="I29" t="s">
        <v>96</v>
      </c>
    </row>
    <row r="30" spans="1:9" x14ac:dyDescent="0.3">
      <c r="A30">
        <v>2</v>
      </c>
      <c r="B30">
        <v>1</v>
      </c>
      <c r="C30" t="s">
        <v>106</v>
      </c>
      <c r="D30" t="s">
        <v>96</v>
      </c>
      <c r="E30">
        <v>150</v>
      </c>
      <c r="F30">
        <v>-50</v>
      </c>
      <c r="G30" t="s">
        <v>96</v>
      </c>
      <c r="H30" t="s">
        <v>96</v>
      </c>
      <c r="I30" t="s">
        <v>96</v>
      </c>
    </row>
    <row r="31" spans="1:9" x14ac:dyDescent="0.3">
      <c r="A31">
        <v>3</v>
      </c>
      <c r="B31">
        <v>1</v>
      </c>
      <c r="C31" t="s">
        <v>110</v>
      </c>
      <c r="D31" t="s">
        <v>96</v>
      </c>
      <c r="E31">
        <v>-50</v>
      </c>
      <c r="F31" t="s">
        <v>96</v>
      </c>
      <c r="G31" t="s">
        <v>96</v>
      </c>
      <c r="H31" t="s">
        <v>96</v>
      </c>
      <c r="I31" t="s">
        <v>96</v>
      </c>
    </row>
    <row r="32" spans="1:9" x14ac:dyDescent="0.3">
      <c r="A32">
        <v>4</v>
      </c>
      <c r="B32">
        <v>1</v>
      </c>
      <c r="C32" t="s">
        <v>111</v>
      </c>
      <c r="D32" t="s">
        <v>96</v>
      </c>
      <c r="E32">
        <v>45</v>
      </c>
      <c r="F32" t="s">
        <v>96</v>
      </c>
      <c r="G32" t="s">
        <v>96</v>
      </c>
      <c r="H32" t="s">
        <v>96</v>
      </c>
      <c r="I32" t="s">
        <v>96</v>
      </c>
    </row>
    <row r="33" spans="1:9" x14ac:dyDescent="0.3">
      <c r="A33">
        <v>5</v>
      </c>
      <c r="B33">
        <v>1</v>
      </c>
      <c r="C33" t="s">
        <v>112</v>
      </c>
      <c r="D33" t="s">
        <v>96</v>
      </c>
      <c r="E33" t="s">
        <v>96</v>
      </c>
      <c r="F33" t="s">
        <v>96</v>
      </c>
      <c r="G33">
        <v>-1</v>
      </c>
      <c r="H33" t="s">
        <v>96</v>
      </c>
      <c r="I33" t="s">
        <v>96</v>
      </c>
    </row>
    <row r="34" spans="1:9" x14ac:dyDescent="0.3">
      <c r="A34">
        <v>6</v>
      </c>
      <c r="B34">
        <v>1</v>
      </c>
      <c r="C34" t="s">
        <v>113</v>
      </c>
      <c r="D34">
        <v>40</v>
      </c>
      <c r="E34" t="s">
        <v>96</v>
      </c>
      <c r="F34" t="s">
        <v>96</v>
      </c>
      <c r="G34" t="s">
        <v>96</v>
      </c>
      <c r="H34" t="s">
        <v>96</v>
      </c>
      <c r="I34" t="s">
        <v>96</v>
      </c>
    </row>
    <row r="35" spans="1:9" x14ac:dyDescent="0.3">
      <c r="A35">
        <v>7</v>
      </c>
      <c r="B35">
        <v>1</v>
      </c>
      <c r="C35" t="s">
        <v>114</v>
      </c>
      <c r="D35" t="s">
        <v>96</v>
      </c>
      <c r="E35">
        <v>20</v>
      </c>
      <c r="F35" t="s">
        <v>96</v>
      </c>
      <c r="G35" t="s">
        <v>96</v>
      </c>
      <c r="H35" t="s">
        <v>96</v>
      </c>
      <c r="I35" t="s">
        <v>96</v>
      </c>
    </row>
    <row r="36" spans="1:9" x14ac:dyDescent="0.3">
      <c r="A36">
        <v>8</v>
      </c>
      <c r="B36">
        <v>1</v>
      </c>
      <c r="C36" t="s">
        <v>115</v>
      </c>
      <c r="D36" t="s">
        <v>96</v>
      </c>
      <c r="E36">
        <v>100</v>
      </c>
      <c r="F36" t="s">
        <v>96</v>
      </c>
      <c r="G36" t="s">
        <v>96</v>
      </c>
      <c r="H36" t="s">
        <v>96</v>
      </c>
      <c r="I36" t="s">
        <v>96</v>
      </c>
    </row>
    <row r="37" spans="1:9" x14ac:dyDescent="0.3">
      <c r="A37">
        <v>9</v>
      </c>
      <c r="B37">
        <v>1</v>
      </c>
      <c r="C37" t="s">
        <v>116</v>
      </c>
      <c r="D37" t="s">
        <v>96</v>
      </c>
      <c r="E37">
        <v>-100</v>
      </c>
      <c r="F37" t="s">
        <v>96</v>
      </c>
      <c r="G37" t="s">
        <v>96</v>
      </c>
      <c r="H37" t="s">
        <v>96</v>
      </c>
      <c r="I37" t="s">
        <v>96</v>
      </c>
    </row>
    <row r="38" spans="1:9" x14ac:dyDescent="0.3">
      <c r="A38">
        <v>10</v>
      </c>
      <c r="B38">
        <v>1</v>
      </c>
      <c r="C38" t="s">
        <v>117</v>
      </c>
      <c r="D38" t="s">
        <v>96</v>
      </c>
      <c r="E38">
        <v>-150</v>
      </c>
      <c r="F38" t="s">
        <v>96</v>
      </c>
      <c r="G38" t="s">
        <v>96</v>
      </c>
      <c r="H38" t="s">
        <v>96</v>
      </c>
      <c r="I38" t="s">
        <v>96</v>
      </c>
    </row>
    <row r="39" spans="1:9" x14ac:dyDescent="0.3">
      <c r="A39">
        <v>11</v>
      </c>
      <c r="B39">
        <v>1</v>
      </c>
      <c r="C39" t="s">
        <v>118</v>
      </c>
      <c r="D39" t="s">
        <v>96</v>
      </c>
      <c r="E39">
        <v>25</v>
      </c>
      <c r="F39" t="s">
        <v>96</v>
      </c>
      <c r="G39" t="s">
        <v>96</v>
      </c>
      <c r="H39" t="s">
        <v>96</v>
      </c>
      <c r="I39" t="s">
        <v>96</v>
      </c>
    </row>
    <row r="40" spans="1:9" x14ac:dyDescent="0.3">
      <c r="A40">
        <v>12</v>
      </c>
      <c r="B40">
        <v>1</v>
      </c>
      <c r="C40" t="s">
        <v>119</v>
      </c>
      <c r="D40" t="s">
        <v>96</v>
      </c>
      <c r="E40">
        <v>10</v>
      </c>
      <c r="F40" t="s">
        <v>96</v>
      </c>
      <c r="G40" t="s">
        <v>96</v>
      </c>
      <c r="H40" t="s">
        <v>96</v>
      </c>
      <c r="I40" t="s">
        <v>96</v>
      </c>
    </row>
    <row r="41" spans="1:9" x14ac:dyDescent="0.3">
      <c r="A41">
        <v>13</v>
      </c>
      <c r="B41">
        <v>1</v>
      </c>
      <c r="C41" t="s">
        <v>122</v>
      </c>
      <c r="D41" t="s">
        <v>96</v>
      </c>
      <c r="E41" t="s">
        <v>96</v>
      </c>
      <c r="F41" t="s">
        <v>96</v>
      </c>
      <c r="G41" t="s">
        <v>96</v>
      </c>
      <c r="H41">
        <v>40</v>
      </c>
      <c r="I41">
        <v>115</v>
      </c>
    </row>
    <row r="42" spans="1:9" x14ac:dyDescent="0.3">
      <c r="A42">
        <v>14</v>
      </c>
      <c r="B42">
        <v>1</v>
      </c>
      <c r="C42" t="s">
        <v>123</v>
      </c>
      <c r="D42" t="s">
        <v>96</v>
      </c>
      <c r="E42">
        <v>100</v>
      </c>
      <c r="F42" t="s">
        <v>96</v>
      </c>
      <c r="G42" t="s">
        <v>96</v>
      </c>
      <c r="H42" t="s">
        <v>96</v>
      </c>
      <c r="I42" t="s">
        <v>96</v>
      </c>
    </row>
    <row r="43" spans="1:9" x14ac:dyDescent="0.3">
      <c r="A43" t="s">
        <v>57</v>
      </c>
    </row>
    <row r="44" spans="1:9" x14ac:dyDescent="0.3">
      <c r="A44" s="64" t="s">
        <v>102</v>
      </c>
      <c r="B44" s="64" t="s">
        <v>139</v>
      </c>
      <c r="C44" s="64" t="s">
        <v>103</v>
      </c>
      <c r="D44" s="64" t="s">
        <v>109</v>
      </c>
      <c r="E44" s="64" t="s">
        <v>107</v>
      </c>
      <c r="F44" s="64" t="s">
        <v>108</v>
      </c>
      <c r="G44" s="64" t="s">
        <v>86</v>
      </c>
      <c r="H44" s="64" t="s">
        <v>120</v>
      </c>
      <c r="I44" s="64" t="s">
        <v>121</v>
      </c>
    </row>
    <row r="45" spans="1:9" x14ac:dyDescent="0.3">
      <c r="A45">
        <v>0</v>
      </c>
      <c r="B45">
        <v>1</v>
      </c>
      <c r="C45" t="s">
        <v>124</v>
      </c>
      <c r="D45">
        <v>11</v>
      </c>
      <c r="E45" t="s">
        <v>96</v>
      </c>
      <c r="F45" t="s">
        <v>96</v>
      </c>
      <c r="G45" t="s">
        <v>96</v>
      </c>
      <c r="H45" t="s">
        <v>96</v>
      </c>
      <c r="I45" t="s">
        <v>96</v>
      </c>
    </row>
    <row r="46" spans="1:9" x14ac:dyDescent="0.3">
      <c r="A46">
        <v>1</v>
      </c>
      <c r="B46">
        <v>1</v>
      </c>
      <c r="C46" t="s">
        <v>125</v>
      </c>
      <c r="D46">
        <v>24</v>
      </c>
      <c r="E46" t="s">
        <v>96</v>
      </c>
      <c r="F46" t="s">
        <v>96</v>
      </c>
      <c r="G46" t="s">
        <v>96</v>
      </c>
      <c r="H46" t="s">
        <v>96</v>
      </c>
      <c r="I46" t="s">
        <v>96</v>
      </c>
    </row>
    <row r="47" spans="1:9" x14ac:dyDescent="0.3">
      <c r="A47">
        <v>2</v>
      </c>
      <c r="B47">
        <v>1</v>
      </c>
      <c r="C47" t="s">
        <v>104</v>
      </c>
      <c r="D47">
        <v>0</v>
      </c>
      <c r="E47" t="s">
        <v>96</v>
      </c>
      <c r="F47" t="s">
        <v>96</v>
      </c>
      <c r="G47" t="s">
        <v>96</v>
      </c>
      <c r="H47" t="s">
        <v>96</v>
      </c>
      <c r="I47" t="s">
        <v>96</v>
      </c>
    </row>
    <row r="48" spans="1:9" x14ac:dyDescent="0.3">
      <c r="A48">
        <v>3</v>
      </c>
      <c r="B48">
        <v>1</v>
      </c>
      <c r="C48" t="s">
        <v>126</v>
      </c>
      <c r="D48" t="s">
        <v>129</v>
      </c>
      <c r="E48" t="s">
        <v>96</v>
      </c>
      <c r="F48" t="s">
        <v>96</v>
      </c>
      <c r="G48" t="s">
        <v>96</v>
      </c>
      <c r="H48" t="s">
        <v>96</v>
      </c>
      <c r="I48" t="s">
        <v>96</v>
      </c>
    </row>
    <row r="49" spans="1:9" x14ac:dyDescent="0.3">
      <c r="A49">
        <v>4</v>
      </c>
      <c r="B49">
        <v>1</v>
      </c>
      <c r="C49" t="s">
        <v>127</v>
      </c>
      <c r="D49" t="s">
        <v>130</v>
      </c>
      <c r="E49" t="s">
        <v>96</v>
      </c>
      <c r="F49" t="s">
        <v>96</v>
      </c>
      <c r="G49" t="s">
        <v>96</v>
      </c>
      <c r="H49" t="s">
        <v>96</v>
      </c>
      <c r="I49" t="s">
        <v>96</v>
      </c>
    </row>
    <row r="50" spans="1:9" x14ac:dyDescent="0.3">
      <c r="A50">
        <v>5</v>
      </c>
      <c r="B50">
        <v>1</v>
      </c>
      <c r="C50" t="s">
        <v>128</v>
      </c>
      <c r="D50">
        <v>39</v>
      </c>
      <c r="E50" t="s">
        <v>96</v>
      </c>
      <c r="F50" t="s">
        <v>96</v>
      </c>
      <c r="G50" t="s">
        <v>96</v>
      </c>
      <c r="H50" t="s">
        <v>96</v>
      </c>
      <c r="I50" t="s">
        <v>96</v>
      </c>
    </row>
    <row r="51" spans="1:9" x14ac:dyDescent="0.3">
      <c r="A51">
        <v>6</v>
      </c>
      <c r="B51">
        <v>1</v>
      </c>
      <c r="C51" t="s">
        <v>131</v>
      </c>
      <c r="D51" t="s">
        <v>96</v>
      </c>
      <c r="E51">
        <v>50</v>
      </c>
      <c r="F51" t="s">
        <v>96</v>
      </c>
      <c r="G51" t="s">
        <v>96</v>
      </c>
      <c r="H51" t="s">
        <v>96</v>
      </c>
      <c r="I51" t="s">
        <v>96</v>
      </c>
    </row>
    <row r="52" spans="1:9" x14ac:dyDescent="0.3">
      <c r="A52">
        <v>7</v>
      </c>
      <c r="B52">
        <v>1</v>
      </c>
      <c r="C52" t="s">
        <v>132</v>
      </c>
      <c r="D52" t="s">
        <v>96</v>
      </c>
      <c r="E52">
        <v>-50</v>
      </c>
      <c r="F52" t="s">
        <v>96</v>
      </c>
      <c r="G52" t="s">
        <v>96</v>
      </c>
      <c r="H52" t="s">
        <v>96</v>
      </c>
      <c r="I52" t="s">
        <v>96</v>
      </c>
    </row>
    <row r="53" spans="1:9" x14ac:dyDescent="0.3">
      <c r="A53">
        <v>8</v>
      </c>
      <c r="B53">
        <v>1</v>
      </c>
      <c r="C53" t="s">
        <v>112</v>
      </c>
      <c r="D53" t="s">
        <v>96</v>
      </c>
      <c r="E53" t="s">
        <v>96</v>
      </c>
      <c r="F53" t="s">
        <v>96</v>
      </c>
      <c r="G53">
        <v>-1</v>
      </c>
      <c r="H53" t="s">
        <v>96</v>
      </c>
      <c r="I53" t="s">
        <v>96</v>
      </c>
    </row>
    <row r="54" spans="1:9" x14ac:dyDescent="0.3">
      <c r="A54">
        <v>9</v>
      </c>
      <c r="B54">
        <v>1</v>
      </c>
      <c r="C54" t="s">
        <v>133</v>
      </c>
      <c r="D54">
        <v>-3</v>
      </c>
      <c r="E54" t="s">
        <v>96</v>
      </c>
      <c r="F54" t="s">
        <v>96</v>
      </c>
      <c r="G54" t="s">
        <v>96</v>
      </c>
      <c r="H54" t="s">
        <v>96</v>
      </c>
      <c r="I54" t="s">
        <v>96</v>
      </c>
    </row>
    <row r="55" spans="1:9" x14ac:dyDescent="0.3">
      <c r="A55">
        <v>10</v>
      </c>
      <c r="B55">
        <v>1</v>
      </c>
      <c r="C55" t="s">
        <v>134</v>
      </c>
      <c r="D55">
        <v>40</v>
      </c>
      <c r="E55" t="s">
        <v>96</v>
      </c>
      <c r="F55" t="s">
        <v>96</v>
      </c>
      <c r="G55" t="s">
        <v>96</v>
      </c>
      <c r="H55" t="s">
        <v>96</v>
      </c>
      <c r="I55" t="s">
        <v>96</v>
      </c>
    </row>
    <row r="56" spans="1:9" x14ac:dyDescent="0.3">
      <c r="A56">
        <v>11</v>
      </c>
      <c r="B56">
        <v>1</v>
      </c>
      <c r="C56" t="s">
        <v>135</v>
      </c>
      <c r="D56" t="s">
        <v>96</v>
      </c>
      <c r="E56" t="s">
        <v>96</v>
      </c>
      <c r="F56" t="s">
        <v>96</v>
      </c>
      <c r="G56" t="s">
        <v>96</v>
      </c>
      <c r="H56">
        <v>25</v>
      </c>
      <c r="I56">
        <v>100</v>
      </c>
    </row>
    <row r="57" spans="1:9" x14ac:dyDescent="0.3">
      <c r="A57">
        <v>12</v>
      </c>
      <c r="B57">
        <v>1</v>
      </c>
      <c r="C57" t="s">
        <v>136</v>
      </c>
      <c r="D57" t="s">
        <v>96</v>
      </c>
      <c r="E57">
        <v>-15</v>
      </c>
      <c r="F57" t="s">
        <v>96</v>
      </c>
      <c r="G57" t="s">
        <v>96</v>
      </c>
      <c r="H57" t="s">
        <v>96</v>
      </c>
      <c r="I57" t="s">
        <v>96</v>
      </c>
    </row>
    <row r="58" spans="1:9" x14ac:dyDescent="0.3">
      <c r="A58">
        <v>13</v>
      </c>
      <c r="B58">
        <v>1</v>
      </c>
      <c r="C58" t="s">
        <v>137</v>
      </c>
      <c r="D58">
        <v>5</v>
      </c>
      <c r="E58" t="s">
        <v>96</v>
      </c>
      <c r="F58" t="s">
        <v>96</v>
      </c>
      <c r="G58" t="s">
        <v>96</v>
      </c>
      <c r="H58" t="s">
        <v>96</v>
      </c>
      <c r="I58" t="s">
        <v>96</v>
      </c>
    </row>
    <row r="59" spans="1:9" x14ac:dyDescent="0.3">
      <c r="A59">
        <v>14</v>
      </c>
      <c r="B59">
        <v>1</v>
      </c>
      <c r="C59" t="s">
        <v>138</v>
      </c>
      <c r="D59" t="s">
        <v>96</v>
      </c>
      <c r="E59">
        <v>150</v>
      </c>
      <c r="F59" t="s">
        <v>96</v>
      </c>
      <c r="G59" t="s">
        <v>96</v>
      </c>
      <c r="H59" t="s">
        <v>96</v>
      </c>
      <c r="I59" t="s">
        <v>96</v>
      </c>
    </row>
    <row r="61" spans="1:9" x14ac:dyDescent="0.3">
      <c r="A61">
        <f>SUM(B28:B42)</f>
        <v>15</v>
      </c>
      <c r="B61" t="s">
        <v>141</v>
      </c>
    </row>
    <row r="62" spans="1:9" x14ac:dyDescent="0.3">
      <c r="A62">
        <f>SUM(B45:B59)</f>
        <v>15</v>
      </c>
      <c r="B62" t="s">
        <v>140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103e803-a70f-4b65-971e-aefdac660459">
      <Terms xmlns="http://schemas.microsoft.com/office/infopath/2007/PartnerControls"/>
    </lcf76f155ced4ddcb4097134ff3c332f>
    <TaxCatchAll xmlns="29ee8d36-65b5-44fe-8aa6-75e181ed3c01" xsi:nil="true"/>
    <Final xmlns="0103e803-a70f-4b65-971e-aefdac660459">true</Fina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89DC3D7DDF0C44ACF7ACD1783AB5A7" ma:contentTypeVersion="16" ma:contentTypeDescription="Create a new document." ma:contentTypeScope="" ma:versionID="eb64a74b4542bde38bb8fc705f1e06fc">
  <xsd:schema xmlns:xsd="http://www.w3.org/2001/XMLSchema" xmlns:xs="http://www.w3.org/2001/XMLSchema" xmlns:p="http://schemas.microsoft.com/office/2006/metadata/properties" xmlns:ns2="0103e803-a70f-4b65-971e-aefdac660459" xmlns:ns3="29ee8d36-65b5-44fe-8aa6-75e181ed3c01" targetNamespace="http://schemas.microsoft.com/office/2006/metadata/properties" ma:root="true" ma:fieldsID="2763ab37d961f9b7d7dca3d08a8e603d" ns2:_="" ns3:_="">
    <xsd:import namespace="0103e803-a70f-4b65-971e-aefdac660459"/>
    <xsd:import namespace="29ee8d36-65b5-44fe-8aa6-75e181ed3c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Fina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03e803-a70f-4b65-971e-aefdac6604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1a9fe44b-0d52-4c97-9830-5dd175891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nal" ma:index="22" nillable="true" ma:displayName="Final" ma:default="1" ma:format="Dropdown" ma:internalName="Final">
      <xsd:simpleType>
        <xsd:restriction base="dms:Boolea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ee8d36-65b5-44fe-8aa6-75e181ed3c0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b38b9b7-3ba4-4eb1-b415-e482dcf8240a}" ma:internalName="TaxCatchAll" ma:showField="CatchAllData" ma:web="29ee8d36-65b5-44fe-8aa6-75e181ed3c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AAD253-8A2F-4FBE-B25A-D05EAE5C08D5}">
  <ds:schemaRefs>
    <ds:schemaRef ds:uri="http://schemas.microsoft.com/office/2006/metadata/properties"/>
    <ds:schemaRef ds:uri="http://schemas.microsoft.com/office/infopath/2007/PartnerControls"/>
    <ds:schemaRef ds:uri="0103e803-a70f-4b65-971e-aefdac660459"/>
    <ds:schemaRef ds:uri="29ee8d36-65b5-44fe-8aa6-75e181ed3c01"/>
  </ds:schemaRefs>
</ds:datastoreItem>
</file>

<file path=customXml/itemProps2.xml><?xml version="1.0" encoding="utf-8"?>
<ds:datastoreItem xmlns:ds="http://schemas.openxmlformats.org/officeDocument/2006/customXml" ds:itemID="{C7A67348-CA05-4840-96D6-A9C9B59690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063825E-A231-4C30-A43D-81663099E7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03e803-a70f-4b65-971e-aefdac660459"/>
    <ds:schemaRef ds:uri="29ee8d36-65b5-44fe-8aa6-75e181ed3c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Board</vt:lpstr>
      <vt:lpstr>Pieces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2026-09-09T16:15:54Z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0x010100CE89DC3D7DDF0C44ACF7ACD1783AB5A7</vt:lpwstr>
  </property>
  <property fmtid="{D5CDD505-2E9C-101B-9397-08002B2CF9AE}" pid="3" name="MediaServiceImageTags">
    <vt:lpwstr/>
  </property>
</Properties>
</file>